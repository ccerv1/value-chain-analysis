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cervone/Dropbox/Enveritas/_Private/__SIPA/"/>
    </mc:Choice>
  </mc:AlternateContent>
  <xr:revisionPtr revIDLastSave="0" documentId="13_ncr:1_{C148DC0F-63B9-EA45-BCA7-1AEFFAD6077F}" xr6:coauthVersionLast="45" xr6:coauthVersionMax="45" xr10:uidLastSave="{00000000-0000-0000-0000-000000000000}"/>
  <bookViews>
    <workbookView xWindow="380" yWindow="460" windowWidth="28040" windowHeight="16400" activeTab="2" xr2:uid="{C4FC1D27-F0BD-0040-AC6D-B224820F0018}"/>
  </bookViews>
  <sheets>
    <sheet name="General" sheetId="1" r:id="rId1"/>
    <sheet name="BaseCase" sheetId="3" r:id="rId2"/>
    <sheet name="LowPrice" sheetId="5" r:id="rId3"/>
    <sheet name="VN" sheetId="4" r:id="rId4"/>
    <sheet name="Sheet2" sheetId="2" r:id="rId5"/>
  </sheets>
  <definedNames>
    <definedName name="_xlchart.v1.0" hidden="1">General!$A$2:$A$11</definedName>
    <definedName name="_xlchart.v1.1" hidden="1">General!$B$2:$B$11</definedName>
    <definedName name="_xlchart.v1.10" hidden="1">VN!$A$2:$A$11</definedName>
    <definedName name="_xlchart.v1.11" hidden="1">VN!$B$2:$B$11</definedName>
    <definedName name="_xlchart.v1.2" hidden="1">BaseCase!$A$2:$A$11</definedName>
    <definedName name="_xlchart.v1.3" hidden="1">BaseCase!$B$2:$B$11</definedName>
    <definedName name="_xlchart.v1.4" hidden="1">BaseCase!$A$2:$A$11</definedName>
    <definedName name="_xlchart.v1.5" hidden="1">BaseCase!$B$2:$B$11</definedName>
    <definedName name="_xlchart.v1.6" hidden="1">BaseCase!$A$2:$A$11</definedName>
    <definedName name="_xlchart.v1.7" hidden="1">BaseCase!$B$2:$B$11</definedName>
    <definedName name="_xlchart.v1.8" hidden="1">LowPrice!$A$2:$A$11</definedName>
    <definedName name="_xlchart.v1.9" hidden="1">LowPrice!$B$2:$B$11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5" l="1"/>
  <c r="B7" i="5" s="1"/>
  <c r="B11" i="5" s="1"/>
  <c r="B10" i="4"/>
  <c r="B9" i="4"/>
  <c r="B8" i="4"/>
  <c r="B5" i="4"/>
  <c r="B7" i="4" s="1"/>
  <c r="B11" i="4" s="1"/>
  <c r="B5" i="3"/>
  <c r="B7" i="3" s="1"/>
  <c r="B11" i="3" s="1"/>
  <c r="B9" i="1" l="1"/>
  <c r="B10" i="1"/>
  <c r="B8" i="1"/>
  <c r="B5" i="1" l="1"/>
  <c r="B7" i="1" s="1"/>
  <c r="B11" i="1" s="1"/>
</calcChain>
</file>

<file path=xl/sharedStrings.xml><?xml version="1.0" encoding="utf-8"?>
<sst xmlns="http://schemas.openxmlformats.org/spreadsheetml/2006/main" count="40" uniqueCount="10">
  <si>
    <t>Tax</t>
  </si>
  <si>
    <t>Exporter</t>
  </si>
  <si>
    <t>Middleman</t>
  </si>
  <si>
    <t>Farmer price</t>
  </si>
  <si>
    <t>Export price</t>
  </si>
  <si>
    <t>Internal price</t>
  </si>
  <si>
    <t>Finance</t>
  </si>
  <si>
    <t>Inputs</t>
  </si>
  <si>
    <t>Labor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</si>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</sst>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>
    <font>
      <sz val="10"/>
      <color theme="1"/>
      <name val="ArialMT"/>
      <family val="2"/>
    </font>
    <font>
      <sz val="10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46660EDD-B958-9A44-9E63-06258F1ED6D0}">
          <cx:dataPt idx="5"/>
          <cx:dataPt idx="9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5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plotArea>
      <cx:plotAreaRegion>
        <cx:series layoutId="waterfall" uniqueId="{46660EDD-B958-9A44-9E63-06258F1ED6D0}">
          <cx:dataPt idx="5"/>
          <cx:dataPt idx="9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5"/>
              <cx:idx val="9"/>
            </cx:subtotals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plotArea>
      <cx:plotAreaRegion>
        <cx:series layoutId="waterfall" uniqueId="{46660EDD-B958-9A44-9E63-06258F1ED6D0}">
          <cx:dataPt idx="5"/>
          <cx:dataPt idx="9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5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plotArea>
      <cx:plotAreaRegion>
        <cx:series layoutId="waterfall" uniqueId="{46660EDD-B958-9A44-9E63-06258F1ED6D0}">
          <cx:dataPt idx="5"/>
          <cx:dataPt idx="9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5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662781</xdr:colOff>
      <xdr:row>5</xdr:row>
      <xdr:rowOff>57150</xdr:rowOff>
    </xdr:from>
    <xdr:to>
      <xdr:col>9</xdr:col>
      <xdr:colOff>281781</xdr:colOff>
      <xdr:row>21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F841EDB-FEA8-E746-B6F1-5BF3F96AEB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9281" y="882650"/>
              <a:ext cx="4572000" cy="271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3</xdr:row>
      <xdr:rowOff>31750</xdr:rowOff>
    </xdr:from>
    <xdr:to>
      <xdr:col>10</xdr:col>
      <xdr:colOff>142875</xdr:colOff>
      <xdr:row>21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9A11DB-DD6B-8B4B-909F-A08EA8FCB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5375" y="531813"/>
              <a:ext cx="6032500" cy="3101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662781</xdr:colOff>
      <xdr:row>5</xdr:row>
      <xdr:rowOff>57150</xdr:rowOff>
    </xdr:from>
    <xdr:to>
      <xdr:col>9</xdr:col>
      <xdr:colOff>281781</xdr:colOff>
      <xdr:row>21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003506-F4AA-1F4D-B876-A95FCBBD3B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9281" y="882650"/>
              <a:ext cx="4572000" cy="271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662781</xdr:colOff>
      <xdr:row>5</xdr:row>
      <xdr:rowOff>57150</xdr:rowOff>
    </xdr:from>
    <xdr:to>
      <xdr:col>9</xdr:col>
      <xdr:colOff>281781</xdr:colOff>
      <xdr:row>21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7799219-6F47-F948-AE65-78FE917BED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9281" y="882650"/>
              <a:ext cx="4572000" cy="271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3CA1-93B4-6D44-B9FD-56F48E08FA88}">
  <dimension ref="A2:B11"/>
  <sheetViews>
    <sheetView zoomScale="160" zoomScaleNormal="160" workbookViewId="0">
      <selection activeCell="C4" sqref="C4"/>
    </sheetView>
  </sheetViews>
  <sheetFormatPr baseColWidth="10" defaultRowHeight="13"/>
  <sheetData>
    <row r="2" spans="1:2">
      <c r="A2" t="s">
        <v>4</v>
      </c>
      <c r="B2" s="1">
        <v>98</v>
      </c>
    </row>
    <row r="3" spans="1:2">
      <c r="A3" t="s">
        <v>0</v>
      </c>
      <c r="B3" s="1">
        <v>0</v>
      </c>
    </row>
    <row r="4" spans="1:2">
      <c r="A4" t="s">
        <v>1</v>
      </c>
      <c r="B4" s="1">
        <v>-3.6</v>
      </c>
    </row>
    <row r="5" spans="1:2">
      <c r="A5" t="s">
        <v>5</v>
      </c>
      <c r="B5" s="1">
        <f>SUM(B2:B4)</f>
        <v>94.4</v>
      </c>
    </row>
    <row r="6" spans="1:2">
      <c r="A6" t="s">
        <v>2</v>
      </c>
      <c r="B6" s="1">
        <v>-1.3</v>
      </c>
    </row>
    <row r="7" spans="1:2">
      <c r="A7" t="s">
        <v>3</v>
      </c>
      <c r="B7" s="1">
        <f>SUM(B5:B6)</f>
        <v>93.100000000000009</v>
      </c>
    </row>
    <row r="8" spans="1:2">
      <c r="A8" t="s">
        <v>6</v>
      </c>
      <c r="B8" s="1">
        <f>-48/22</f>
        <v>-2.1818181818181817</v>
      </c>
    </row>
    <row r="9" spans="1:2">
      <c r="A9" t="s">
        <v>7</v>
      </c>
      <c r="B9" s="1">
        <f>-(717-145)/22</f>
        <v>-26</v>
      </c>
    </row>
    <row r="10" spans="1:2">
      <c r="A10" t="s">
        <v>8</v>
      </c>
      <c r="B10" s="1">
        <f>-588/22</f>
        <v>-26.727272727272727</v>
      </c>
    </row>
    <row r="11" spans="1:2">
      <c r="A11" t="s">
        <v>9</v>
      </c>
      <c r="B11" s="2">
        <f>SUM(B7:B10)</f>
        <v>38.190909090909095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693B-32BD-6A44-81CE-D45040F0B4A7}">
  <dimension ref="A2:B11"/>
  <sheetViews>
    <sheetView zoomScale="160" zoomScaleNormal="160" workbookViewId="0">
      <selection activeCell="B11" sqref="B2:B11"/>
    </sheetView>
  </sheetViews>
  <sheetFormatPr baseColWidth="10" defaultRowHeight="13"/>
  <sheetData>
    <row r="2" spans="1:2">
      <c r="A2" t="s">
        <v>4</v>
      </c>
      <c r="B2" s="1">
        <v>100</v>
      </c>
    </row>
    <row r="3" spans="1:2">
      <c r="A3" t="s">
        <v>0</v>
      </c>
      <c r="B3" s="1">
        <v>-2</v>
      </c>
    </row>
    <row r="4" spans="1:2">
      <c r="A4" t="s">
        <v>1</v>
      </c>
      <c r="B4" s="1">
        <v>-8</v>
      </c>
    </row>
    <row r="5" spans="1:2">
      <c r="A5" t="s">
        <v>5</v>
      </c>
      <c r="B5" s="1">
        <f>SUM(B2:B4)</f>
        <v>90</v>
      </c>
    </row>
    <row r="6" spans="1:2">
      <c r="A6" t="s">
        <v>2</v>
      </c>
      <c r="B6" s="1">
        <v>-10</v>
      </c>
    </row>
    <row r="7" spans="1:2">
      <c r="A7" t="s">
        <v>3</v>
      </c>
      <c r="B7" s="1">
        <f>SUM(B5:B6)</f>
        <v>80</v>
      </c>
    </row>
    <row r="8" spans="1:2">
      <c r="A8" t="s">
        <v>6</v>
      </c>
      <c r="B8" s="1">
        <v>-5</v>
      </c>
    </row>
    <row r="9" spans="1:2">
      <c r="A9" t="s">
        <v>7</v>
      </c>
      <c r="B9" s="1">
        <v>-15</v>
      </c>
    </row>
    <row r="10" spans="1:2">
      <c r="A10" t="s">
        <v>8</v>
      </c>
      <c r="B10" s="1">
        <v>-20</v>
      </c>
    </row>
    <row r="11" spans="1:2">
      <c r="A11" t="s">
        <v>9</v>
      </c>
      <c r="B11" s="2">
        <f>SUM(B7:B10)</f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8B7E-9BB6-494B-B141-3942A31D9F98}">
  <dimension ref="A2:B11"/>
  <sheetViews>
    <sheetView tabSelected="1" zoomScale="160" zoomScaleNormal="160" workbookViewId="0">
      <selection activeCell="B3" sqref="B3"/>
    </sheetView>
  </sheetViews>
  <sheetFormatPr baseColWidth="10" defaultRowHeight="13"/>
  <sheetData>
    <row r="2" spans="1:2">
      <c r="A2" t="s">
        <v>4</v>
      </c>
      <c r="B2" s="1">
        <v>60</v>
      </c>
    </row>
    <row r="3" spans="1:2">
      <c r="A3" t="s">
        <v>0</v>
      </c>
      <c r="B3" s="1">
        <v>-2</v>
      </c>
    </row>
    <row r="4" spans="1:2">
      <c r="A4" t="s">
        <v>1</v>
      </c>
      <c r="B4" s="1">
        <v>-8</v>
      </c>
    </row>
    <row r="5" spans="1:2">
      <c r="A5" t="s">
        <v>5</v>
      </c>
      <c r="B5" s="1">
        <f>SUM(B2:B4)</f>
        <v>50</v>
      </c>
    </row>
    <row r="6" spans="1:2">
      <c r="A6" t="s">
        <v>2</v>
      </c>
      <c r="B6" s="1">
        <v>-10</v>
      </c>
    </row>
    <row r="7" spans="1:2">
      <c r="A7" t="s">
        <v>3</v>
      </c>
      <c r="B7" s="1">
        <f>SUM(B5:B6)</f>
        <v>40</v>
      </c>
    </row>
    <row r="8" spans="1:2">
      <c r="A8" t="s">
        <v>6</v>
      </c>
      <c r="B8" s="1">
        <v>-5</v>
      </c>
    </row>
    <row r="9" spans="1:2">
      <c r="A9" t="s">
        <v>7</v>
      </c>
      <c r="B9" s="1">
        <v>-15</v>
      </c>
    </row>
    <row r="10" spans="1:2">
      <c r="A10" t="s">
        <v>8</v>
      </c>
      <c r="B10" s="1">
        <v>-20</v>
      </c>
    </row>
    <row r="11" spans="1:2">
      <c r="A11" t="s">
        <v>9</v>
      </c>
      <c r="B11" s="2">
        <f>SUM(B7:B10)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46F7-7FFC-3E41-AEEA-BD49E9B1787A}">
  <dimension ref="A2:B11"/>
  <sheetViews>
    <sheetView zoomScale="160" zoomScaleNormal="160" workbookViewId="0">
      <selection activeCell="C4" sqref="C4"/>
    </sheetView>
  </sheetViews>
  <sheetFormatPr baseColWidth="10" defaultRowHeight="13"/>
  <sheetData>
    <row r="2" spans="1:2">
      <c r="A2" t="s">
        <v>4</v>
      </c>
      <c r="B2" s="1">
        <v>98</v>
      </c>
    </row>
    <row r="3" spans="1:2">
      <c r="A3" t="s">
        <v>0</v>
      </c>
      <c r="B3" s="1">
        <v>0</v>
      </c>
    </row>
    <row r="4" spans="1:2">
      <c r="A4" t="s">
        <v>1</v>
      </c>
      <c r="B4" s="1">
        <v>-3.6</v>
      </c>
    </row>
    <row r="5" spans="1:2">
      <c r="A5" t="s">
        <v>5</v>
      </c>
      <c r="B5" s="1">
        <f>SUM(B2:B4)</f>
        <v>94.4</v>
      </c>
    </row>
    <row r="6" spans="1:2">
      <c r="A6" t="s">
        <v>2</v>
      </c>
      <c r="B6" s="1">
        <v>-1.3</v>
      </c>
    </row>
    <row r="7" spans="1:2">
      <c r="A7" t="s">
        <v>3</v>
      </c>
      <c r="B7" s="1">
        <f>SUM(B5:B6)</f>
        <v>93.100000000000009</v>
      </c>
    </row>
    <row r="8" spans="1:2">
      <c r="A8" t="s">
        <v>6</v>
      </c>
      <c r="B8" s="1">
        <f>-48/22</f>
        <v>-2.1818181818181817</v>
      </c>
    </row>
    <row r="9" spans="1:2">
      <c r="A9" t="s">
        <v>7</v>
      </c>
      <c r="B9" s="1">
        <f>-(717-145)/22</f>
        <v>-26</v>
      </c>
    </row>
    <row r="10" spans="1:2">
      <c r="A10" t="s">
        <v>8</v>
      </c>
      <c r="B10" s="1">
        <f>-588/22</f>
        <v>-26.727272727272727</v>
      </c>
    </row>
    <row r="11" spans="1:2">
      <c r="A11" t="s">
        <v>9</v>
      </c>
      <c r="B11" s="2">
        <f>SUM(B7:B10)</f>
        <v>38.190909090909095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DD39-6BA4-8F45-9867-C7EA8A70A8FC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BaseCase</vt:lpstr>
      <vt:lpstr>LowPrice</vt:lpstr>
      <vt:lpstr>VN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Cervone</dc:creator>
  <cp:lastModifiedBy>Carl Cervone</cp:lastModifiedBy>
  <dcterms:created xsi:type="dcterms:W3CDTF">2020-03-31T02:22:45Z</dcterms:created>
  <dcterms:modified xsi:type="dcterms:W3CDTF">2020-03-31T20:23:43Z</dcterms:modified>
</cp:coreProperties>
</file>