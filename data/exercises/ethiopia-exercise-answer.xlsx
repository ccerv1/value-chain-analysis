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carlcervone/Dropbox/Enveritas/_Private/__SIPA/"/>
    </mc:Choice>
  </mc:AlternateContent>
  <bookViews>
    <workbookView xWindow="1040" yWindow="1680" windowWidth="24560" windowHeight="13040" tabRatio="500" activeTab="5"/>
  </bookViews>
  <sheets>
    <sheet name="Exports_Summary" sheetId="1" r:id="rId1"/>
    <sheet name="Exports_2007-08" sheetId="3" r:id="rId2"/>
    <sheet name="Exports_2010-11" sheetId="2" r:id="rId3"/>
    <sheet name="Farmer_2010-11" sheetId="5" r:id="rId4"/>
    <sheet name="Global_Prices" sheetId="4" r:id="rId5"/>
    <sheet name="Worksheet" sheetId="6" r:id="rId6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6" l="1"/>
  <c r="B16" i="6"/>
  <c r="B15" i="6"/>
  <c r="B9" i="6"/>
  <c r="D9" i="6"/>
  <c r="B8" i="6"/>
  <c r="D8" i="6"/>
  <c r="D7" i="6"/>
  <c r="D5" i="6"/>
  <c r="D4" i="6"/>
  <c r="D3" i="6"/>
  <c r="C9" i="6"/>
  <c r="C8" i="6"/>
  <c r="C7" i="6"/>
  <c r="B5" i="6"/>
  <c r="C5" i="6"/>
  <c r="C4" i="6"/>
  <c r="C3" i="6"/>
  <c r="B4" i="6"/>
  <c r="B3" i="6"/>
  <c r="K10" i="3"/>
  <c r="J10" i="3"/>
  <c r="K10" i="2"/>
  <c r="J10" i="2"/>
  <c r="J8" i="2"/>
  <c r="L10" i="3"/>
  <c r="K8" i="3"/>
  <c r="K9" i="3"/>
  <c r="J8" i="3"/>
  <c r="J9" i="3"/>
  <c r="L9" i="3"/>
  <c r="L8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K8" i="2"/>
  <c r="K9" i="2"/>
  <c r="J9" i="2"/>
  <c r="L9" i="2"/>
  <c r="L10" i="2"/>
  <c r="L8" i="2"/>
  <c r="B33" i="2"/>
  <c r="B34" i="2"/>
  <c r="B35" i="2"/>
  <c r="B36" i="2"/>
  <c r="B37" i="2"/>
  <c r="B38" i="2"/>
  <c r="B39" i="2"/>
  <c r="B9" i="2"/>
  <c r="B10" i="2"/>
  <c r="B11" i="2"/>
  <c r="B12" i="2"/>
  <c r="B13" i="2"/>
  <c r="B14" i="2"/>
  <c r="B15" i="2"/>
  <c r="B16" i="2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</calcChain>
</file>

<file path=xl/sharedStrings.xml><?xml version="1.0" encoding="utf-8"?>
<sst xmlns="http://schemas.openxmlformats.org/spreadsheetml/2006/main" count="366" uniqueCount="229">
  <si>
    <t>No.</t>
  </si>
  <si>
    <t>Month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</si>
  <si>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</si>
  <si>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</si>
  <si>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</si>
  <si>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</si>
  <si>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</si>
  <si>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</si>
  <si>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</si>
  <si>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</si>
  <si>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 xml:space="preserve">Volume </t>
  </si>
  <si>
    <t>Value</t>
  </si>
  <si>
    <t>Volume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</si>
  <si>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</si>
  <si>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</si>
  <si>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</si>
  <si>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</si>
  <si>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</si>
  <si>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</si>
  <si>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</si>
  <si>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</si>
  <si>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</si>
  <si>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</si>
  <si>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</si>
  <si>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</si>
  <si>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 xml:space="preserve">Total </t>
  </si>
  <si>
    <t>Monthly Exported Volume and Value of Coffee</t>
  </si>
  <si>
    <t>Volumes in TONS green</t>
  </si>
  <si>
    <t>Ethiopian Coffee Exporters' Association</t>
  </si>
  <si>
    <t>Values in USD (thousands)</t>
  </si>
  <si>
    <t>NO.</t>
  </si>
  <si>
    <t>Coffee Type</t>
  </si>
  <si>
    <t>Coffee Type by Grade</t>
  </si>
  <si>
    <t>Volume(Ton)</t>
  </si>
  <si>
    <t>Value (USD)</t>
  </si>
  <si>
    <t>Average Price</t>
  </si>
  <si>
    <t>SIDAMA</t>
  </si>
  <si>
    <t xml:space="preserve">SIDAMO GR-2 </t>
  </si>
  <si>
    <t>SIDAMO  GR-4</t>
  </si>
  <si>
    <t>SIDAMO GR-UG</t>
  </si>
  <si>
    <t>SIDAMO  PEABERRY</t>
  </si>
  <si>
    <t>SIDAMO  GR-3</t>
  </si>
  <si>
    <t>SIDAMO G.C</t>
  </si>
  <si>
    <t>SIDAMO GR-1</t>
  </si>
  <si>
    <t>SIDAMO G-5</t>
  </si>
  <si>
    <t>Unspecified Grade</t>
  </si>
  <si>
    <t>DJIMMA</t>
  </si>
  <si>
    <t>DJIMMA GR-5</t>
  </si>
  <si>
    <t>DJIMMA GR-UG</t>
  </si>
  <si>
    <t>DJIMMAH GR-4</t>
  </si>
  <si>
    <t>DJIMMA GR-3</t>
  </si>
  <si>
    <t>DJIMMAH GR-2</t>
  </si>
  <si>
    <t>LEKEMTIE</t>
  </si>
  <si>
    <t>LEKEMITI GR-5</t>
  </si>
  <si>
    <t>LEKEMPTI GR-4</t>
  </si>
  <si>
    <t>LEKEMPTI GR-1</t>
  </si>
  <si>
    <t>LEKEMPTI GR-3</t>
  </si>
  <si>
    <t>LEKEMPTI GR-UG</t>
  </si>
  <si>
    <t>LEKEMPTI GR-2</t>
  </si>
  <si>
    <t>HARAR</t>
  </si>
  <si>
    <t>HARAR GR-5</t>
  </si>
  <si>
    <t>HARAR GR-4</t>
  </si>
  <si>
    <t>HARAR GR-UG</t>
  </si>
  <si>
    <t>HARAR  GR-1</t>
  </si>
  <si>
    <t>HARAR  GR-2</t>
  </si>
  <si>
    <t>HARAR  GR-3</t>
  </si>
  <si>
    <t>HARAR PEABERY COFFEE</t>
  </si>
  <si>
    <t>YIRGACHEFFE</t>
  </si>
  <si>
    <t>YIRGACHEFFE GR-2</t>
  </si>
  <si>
    <t>YIRGACHEFFE GR-UG</t>
  </si>
  <si>
    <t>YIRGACHEFFE GR-1</t>
  </si>
  <si>
    <t>YIRGACHEFFE GR-4</t>
  </si>
  <si>
    <t>YIRGACHEFFE GR-3</t>
  </si>
  <si>
    <t>YIRGACHEFFE PEABERRY</t>
  </si>
  <si>
    <t>LIMMU</t>
  </si>
  <si>
    <t>LIMMU GR-2</t>
  </si>
  <si>
    <t>LIMMU GR-UG</t>
  </si>
  <si>
    <t>LIMMU PEABERRY</t>
  </si>
  <si>
    <t>LIMMU GR-3</t>
  </si>
  <si>
    <t>LIMMU GR-4</t>
  </si>
  <si>
    <t>TEPPI</t>
  </si>
  <si>
    <t>TEPPI GR-2</t>
  </si>
  <si>
    <t>TEPPI GR-UG</t>
  </si>
  <si>
    <t>GHIMBI</t>
  </si>
  <si>
    <t>GHIMBI GR-4</t>
  </si>
  <si>
    <t>GHIMBI GR-5</t>
  </si>
  <si>
    <t>KEFFA FOREST</t>
  </si>
  <si>
    <t>KAFFA FOREST GR-2</t>
  </si>
  <si>
    <t>KAFFA FOREST GR-5</t>
  </si>
  <si>
    <t>GEMADRO</t>
  </si>
  <si>
    <t>GEMADRO GR-2</t>
  </si>
  <si>
    <t xml:space="preserve">GEMADRO GR-4 </t>
  </si>
  <si>
    <t>GEMADRO GR-5</t>
  </si>
  <si>
    <t>BEBEKA</t>
  </si>
  <si>
    <t>BEBEKA GR- 2</t>
  </si>
  <si>
    <t>BEBEKA GR-3</t>
  </si>
  <si>
    <t>GODERE</t>
  </si>
  <si>
    <t>GODERE GR-2</t>
  </si>
  <si>
    <t>BENCH</t>
  </si>
  <si>
    <t>BENCH GR-2</t>
  </si>
  <si>
    <t>BENCH GR-3</t>
  </si>
  <si>
    <t>BENCH GR-5</t>
  </si>
  <si>
    <t>BENCH GR-U.G.</t>
  </si>
  <si>
    <t xml:space="preserve">Mixed Coffees </t>
  </si>
  <si>
    <t xml:space="preserve">Others </t>
  </si>
  <si>
    <t>Grand Total</t>
  </si>
  <si>
    <t>Exported Coffee in Type: July 2010 - June 2011</t>
  </si>
  <si>
    <t>W</t>
  </si>
  <si>
    <t>Washed</t>
  </si>
  <si>
    <t>Volume (ton)</t>
  </si>
  <si>
    <t>Avg Price</t>
  </si>
  <si>
    <t>USD per Ton</t>
  </si>
  <si>
    <t>Remainder</t>
  </si>
  <si>
    <t>TOTAL</t>
  </si>
  <si>
    <t>SUMMARY</t>
  </si>
  <si>
    <t>Volume in Tons and Value in ,000 USD</t>
  </si>
  <si>
    <t>NO</t>
  </si>
  <si>
    <t>Volume Tons</t>
  </si>
  <si>
    <t>Value in 000,USD</t>
  </si>
  <si>
    <t>SIDAMO &amp; Mixed With others</t>
  </si>
  <si>
    <t>SIDAMO</t>
  </si>
  <si>
    <t>SIDAMO GR-5</t>
  </si>
  <si>
    <t>DJIMMAH GR-5  Mixed With Others</t>
  </si>
  <si>
    <t>DJIMMA GB</t>
  </si>
  <si>
    <t>LEKEMITI</t>
  </si>
  <si>
    <t>LEKEMETI GR-5,Mixed with others</t>
  </si>
  <si>
    <t>HARAR COFFEE</t>
  </si>
  <si>
    <t>HARAR -4 Mixed with others</t>
  </si>
  <si>
    <t>YIRGACHEFFE G-2,Mixed with others</t>
  </si>
  <si>
    <t>YIRGACHEFFE-2 Mixed With others</t>
  </si>
  <si>
    <t>YERGACHEFFE-2 ORGANIC&amp; HARAR-4</t>
  </si>
  <si>
    <t>YIRGACHEFFE GR-5</t>
  </si>
  <si>
    <t>YIRGACHEFFE KOCHERE GR-4</t>
  </si>
  <si>
    <t>YIRGACHEFFE KOCHERE GR-5</t>
  </si>
  <si>
    <t>LIMMU &amp; Mixed with others</t>
  </si>
  <si>
    <t>LIMMU GR-5</t>
  </si>
  <si>
    <t xml:space="preserve">ALL TYPE COFFEE </t>
  </si>
  <si>
    <t>Coffee unspecified</t>
  </si>
  <si>
    <t>COFFEE GR-4</t>
  </si>
  <si>
    <t>COFFEE GR-5</t>
  </si>
  <si>
    <t>BALLE</t>
  </si>
  <si>
    <t>BALE GR-4</t>
  </si>
  <si>
    <t>GUMMER</t>
  </si>
  <si>
    <t>GUMMER GR-1</t>
  </si>
  <si>
    <t>GUMMER GR-2</t>
  </si>
  <si>
    <t>GUDER</t>
  </si>
  <si>
    <t>AMARO</t>
  </si>
  <si>
    <t>AMARO GR-4 AMARO GAYO</t>
  </si>
  <si>
    <t>AMARO GR2 AMARO GAYO</t>
  </si>
  <si>
    <t>KEMBATA</t>
  </si>
  <si>
    <t>KENBATA GR-4</t>
  </si>
  <si>
    <t>ABYSSIAN</t>
  </si>
  <si>
    <t>ABYSSIIAN MOCCA GR-4</t>
  </si>
  <si>
    <t>ABYSSIIAN MOCCA GR-5</t>
  </si>
  <si>
    <t xml:space="preserve">ABYSINIA COFFEE </t>
  </si>
  <si>
    <t>Others</t>
  </si>
  <si>
    <t>KOSSA GR-2</t>
  </si>
  <si>
    <t>STAG GR-4</t>
  </si>
  <si>
    <t>GOLOLCHA GR-3</t>
  </si>
  <si>
    <t xml:space="preserve">GUJI GRADE 4 </t>
  </si>
  <si>
    <t>WILD GR.2</t>
  </si>
  <si>
    <t>Exported Coffee in Type: July 2007 - June 2008</t>
  </si>
  <si>
    <t>Average Price (USD per Ton)</t>
  </si>
  <si>
    <t>Composite Indicator Price</t>
  </si>
  <si>
    <t>Calendar Year</t>
  </si>
  <si>
    <t>International Coffee Organisation (ICO) Composite and Group Indicator Prices (in US cents per lb)</t>
  </si>
  <si>
    <t>Alaga</t>
  </si>
  <si>
    <t>Angecha</t>
  </si>
  <si>
    <t>Anja</t>
  </si>
  <si>
    <t>Busa</t>
  </si>
  <si>
    <t>Doyo</t>
  </si>
  <si>
    <t>Hunde</t>
  </si>
  <si>
    <t>Ilketinjo</t>
  </si>
  <si>
    <t>Lelisa</t>
  </si>
  <si>
    <t>Sebaka</t>
  </si>
  <si>
    <t>Wakito</t>
  </si>
  <si>
    <t>Biftu</t>
  </si>
  <si>
    <t>Challa</t>
  </si>
  <si>
    <t>Cocola</t>
  </si>
  <si>
    <t>Duromina</t>
  </si>
  <si>
    <t>Haro Sana</t>
  </si>
  <si>
    <t>Hawisa</t>
  </si>
  <si>
    <t>Jawi</t>
  </si>
  <si>
    <t>Yachi</t>
  </si>
  <si>
    <t>Yukro</t>
  </si>
  <si>
    <t>Achebo</t>
  </si>
  <si>
    <t>Camp</t>
  </si>
  <si>
    <t>Chello</t>
  </si>
  <si>
    <t>Dembi</t>
  </si>
  <si>
    <t>Gole</t>
  </si>
  <si>
    <t>Hana</t>
  </si>
  <si>
    <t>Hawa</t>
  </si>
  <si>
    <t>Sineso</t>
  </si>
  <si>
    <t>Sota</t>
  </si>
  <si>
    <t>Baro</t>
  </si>
  <si>
    <t>Dizi</t>
  </si>
  <si>
    <t>DKGB</t>
  </si>
  <si>
    <t>Geri</t>
  </si>
  <si>
    <t>Getchi</t>
  </si>
  <si>
    <t>Karo Mariam</t>
  </si>
  <si>
    <t>Kitaber</t>
  </si>
  <si>
    <t>Kundi Gagi</t>
  </si>
  <si>
    <t>Loko Saya</t>
  </si>
  <si>
    <t>Wutete</t>
  </si>
  <si>
    <t>Yayu</t>
  </si>
  <si>
    <t>Operating figures for Ethiopian cooperatives in 2010-11</t>
  </si>
  <si>
    <t>Operating expense ($/kg)</t>
  </si>
  <si>
    <t>Weight (kg)</t>
  </si>
  <si>
    <t>Avg price to farmer ($/kg)</t>
  </si>
  <si>
    <t>First year of ECX trading</t>
  </si>
  <si>
    <t>All figures have been converted to green coffee at a ratio of 6 kg cherry to 1 kg green coffee</t>
  </si>
  <si>
    <t>Indicator</t>
  </si>
  <si>
    <t>Change</t>
  </si>
  <si>
    <t>Share of export</t>
  </si>
  <si>
    <t>Robusta</t>
  </si>
  <si>
    <t>Other mild Arabica</t>
  </si>
  <si>
    <t>Washed Arabica ("Colombia milds")</t>
  </si>
  <si>
    <t>Unwashed Arabica ("Brazilian naturals")</t>
  </si>
  <si>
    <t>Avg. export price ($/kg)</t>
  </si>
  <si>
    <t>Export volume (tons)</t>
  </si>
  <si>
    <t>Export revenues (US$ thousands)</t>
  </si>
  <si>
    <t>Avg. farmer price ($/kg)</t>
  </si>
  <si>
    <t>Costs ($/kg)</t>
  </si>
  <si>
    <t>Washed coffee price</t>
  </si>
  <si>
    <t>Unwashed coffee price</t>
  </si>
  <si>
    <t>Share washed</t>
  </si>
  <si>
    <t>Share unwashed</t>
  </si>
  <si>
    <t>Exchange rate (Birr to US$)</t>
  </si>
  <si>
    <t>Conversion factor (cherry to exportable green coffee)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</si>
</sst>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0" x14ac:knownFonts="1">
    <font>
      <sz val="10"/>
      <color theme="1"/>
      <name val="ArialMT"/>
      <family val="2"/>
    </font>
    <font>
      <sz val="10"/>
      <color theme="1"/>
      <name val="ArialMT"/>
      <family val="2"/>
    </font>
    <font>
      <sz val="10"/>
      <color theme="1"/>
      <name val="ArialMT"/>
      <family val="2"/>
    </font>
    <font>
      <b/>
      <sz val="10"/>
      <color theme="1"/>
      <name val="ArialMT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i/>
      <sz val="9"/>
      <name val="Arial"/>
      <family val="2"/>
    </font>
    <font>
      <b/>
      <sz val="12"/>
      <color indexed="12"/>
      <name val="Arial"/>
      <family val="2"/>
    </font>
    <font>
      <b/>
      <i/>
      <sz val="10"/>
      <color indexed="12"/>
      <name val="Arial"/>
      <family val="2"/>
    </font>
    <font>
      <b/>
      <i/>
      <sz val="10"/>
      <name val="Arial"/>
      <family val="2"/>
    </font>
    <font>
      <i/>
      <sz val="10"/>
      <name val="Bookman Old Style"/>
      <family val="1"/>
    </font>
    <font>
      <sz val="10"/>
      <color indexed="12"/>
      <name val="Arial"/>
      <family val="2"/>
    </font>
    <font>
      <b/>
      <i/>
      <sz val="10"/>
      <name val="Arial Narrow"/>
      <family val="2"/>
    </font>
    <font>
      <i/>
      <sz val="10"/>
      <color indexed="12"/>
      <name val="Arial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i/>
      <sz val="12"/>
      <color indexed="12"/>
      <name val="Arial"/>
      <family val="2"/>
    </font>
    <font>
      <i/>
      <sz val="12"/>
      <color indexed="12"/>
      <name val="Arial"/>
      <family val="2"/>
    </font>
    <font>
      <b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u/>
      <sz val="10"/>
      <color rgb="FF0000FF"/>
      <name val="Arial"/>
      <family val="2"/>
    </font>
    <font>
      <b/>
      <sz val="14"/>
      <color theme="1"/>
      <name val="Calibri"/>
      <family val="2"/>
      <scheme val="minor"/>
    </font>
    <font>
      <i/>
      <sz val="10"/>
      <color theme="1"/>
      <name val="ArialMT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164" fontId="8" fillId="0" borderId="1" xfId="1" applyNumberFormat="1" applyFont="1" applyBorder="1"/>
    <xf numFmtId="3" fontId="6" fillId="0" borderId="1" xfId="1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left"/>
    </xf>
    <xf numFmtId="3" fontId="6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4" fillId="3" borderId="4" xfId="0" applyFont="1" applyFill="1" applyBorder="1"/>
    <xf numFmtId="0" fontId="14" fillId="3" borderId="9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right"/>
    </xf>
    <xf numFmtId="0" fontId="15" fillId="3" borderId="11" xfId="0" applyFont="1" applyFill="1" applyBorder="1"/>
    <xf numFmtId="3" fontId="15" fillId="3" borderId="12" xfId="0" applyNumberFormat="1" applyFont="1" applyFill="1" applyBorder="1"/>
    <xf numFmtId="3" fontId="15" fillId="3" borderId="11" xfId="0" applyNumberFormat="1" applyFont="1" applyFill="1" applyBorder="1"/>
    <xf numFmtId="0" fontId="6" fillId="4" borderId="13" xfId="0" applyFont="1" applyFill="1" applyBorder="1"/>
    <xf numFmtId="0" fontId="6" fillId="4" borderId="14" xfId="0" applyFont="1" applyFill="1" applyBorder="1" applyAlignment="1">
      <alignment horizontal="right"/>
    </xf>
    <xf numFmtId="0" fontId="16" fillId="4" borderId="14" xfId="0" applyFont="1" applyFill="1" applyBorder="1"/>
    <xf numFmtId="3" fontId="17" fillId="0" borderId="14" xfId="2" applyNumberFormat="1" applyFont="1" applyBorder="1"/>
    <xf numFmtId="3" fontId="0" fillId="0" borderId="15" xfId="0" applyNumberFormat="1" applyBorder="1"/>
    <xf numFmtId="0" fontId="6" fillId="4" borderId="16" xfId="0" applyFont="1" applyFill="1" applyBorder="1"/>
    <xf numFmtId="0" fontId="6" fillId="4" borderId="1" xfId="0" applyFont="1" applyFill="1" applyBorder="1" applyAlignment="1">
      <alignment horizontal="right"/>
    </xf>
    <xf numFmtId="0" fontId="16" fillId="4" borderId="1" xfId="0" applyFont="1" applyFill="1" applyBorder="1"/>
    <xf numFmtId="3" fontId="17" fillId="0" borderId="1" xfId="2" applyNumberFormat="1" applyFont="1" applyBorder="1"/>
    <xf numFmtId="3" fontId="0" fillId="0" borderId="17" xfId="0" applyNumberFormat="1" applyBorder="1"/>
    <xf numFmtId="3" fontId="0" fillId="0" borderId="1" xfId="0" applyNumberFormat="1" applyBorder="1"/>
    <xf numFmtId="3" fontId="6" fillId="4" borderId="1" xfId="0" applyNumberFormat="1" applyFont="1" applyFill="1" applyBorder="1" applyAlignment="1">
      <alignment horizontal="right"/>
    </xf>
    <xf numFmtId="0" fontId="0" fillId="0" borderId="1" xfId="0" applyBorder="1"/>
    <xf numFmtId="0" fontId="6" fillId="4" borderId="18" xfId="0" applyFont="1" applyFill="1" applyBorder="1"/>
    <xf numFmtId="0" fontId="6" fillId="4" borderId="19" xfId="0" applyFont="1" applyFill="1" applyBorder="1" applyAlignment="1">
      <alignment horizontal="right"/>
    </xf>
    <xf numFmtId="0" fontId="16" fillId="4" borderId="19" xfId="0" applyFont="1" applyFill="1" applyBorder="1"/>
    <xf numFmtId="3" fontId="0" fillId="0" borderId="19" xfId="0" applyNumberFormat="1" applyBorder="1"/>
    <xf numFmtId="3" fontId="0" fillId="0" borderId="20" xfId="0" applyNumberFormat="1" applyBorder="1"/>
    <xf numFmtId="0" fontId="15" fillId="3" borderId="21" xfId="0" applyFont="1" applyFill="1" applyBorder="1" applyAlignment="1">
      <alignment horizontal="right"/>
    </xf>
    <xf numFmtId="0" fontId="15" fillId="3" borderId="22" xfId="0" applyFont="1" applyFill="1" applyBorder="1"/>
    <xf numFmtId="3" fontId="15" fillId="3" borderId="22" xfId="0" applyNumberFormat="1" applyFont="1" applyFill="1" applyBorder="1"/>
    <xf numFmtId="3" fontId="15" fillId="3" borderId="23" xfId="0" applyNumberFormat="1" applyFont="1" applyFill="1" applyBorder="1"/>
    <xf numFmtId="0" fontId="15" fillId="3" borderId="16" xfId="0" applyFont="1" applyFill="1" applyBorder="1" applyAlignment="1">
      <alignment horizontal="right"/>
    </xf>
    <xf numFmtId="0" fontId="15" fillId="3" borderId="1" xfId="0" applyFont="1" applyFill="1" applyBorder="1"/>
    <xf numFmtId="3" fontId="15" fillId="3" borderId="1" xfId="0" applyNumberFormat="1" applyFont="1" applyFill="1" applyBorder="1"/>
    <xf numFmtId="3" fontId="15" fillId="3" borderId="17" xfId="0" applyNumberFormat="1" applyFont="1" applyFill="1" applyBorder="1"/>
    <xf numFmtId="3" fontId="18" fillId="3" borderId="1" xfId="0" applyNumberFormat="1" applyFont="1" applyFill="1" applyBorder="1" applyAlignment="1">
      <alignment horizontal="right"/>
    </xf>
    <xf numFmtId="0" fontId="19" fillId="0" borderId="1" xfId="0" applyFont="1" applyBorder="1"/>
    <xf numFmtId="3" fontId="6" fillId="0" borderId="1" xfId="2" applyNumberFormat="1" applyFont="1" applyBorder="1"/>
    <xf numFmtId="0" fontId="20" fillId="3" borderId="1" xfId="0" applyFont="1" applyFill="1" applyBorder="1"/>
    <xf numFmtId="0" fontId="6" fillId="0" borderId="16" xfId="0" applyFont="1" applyBorder="1"/>
    <xf numFmtId="0" fontId="16" fillId="0" borderId="1" xfId="0" applyFont="1" applyBorder="1"/>
    <xf numFmtId="3" fontId="0" fillId="0" borderId="0" xfId="0" applyNumberFormat="1"/>
    <xf numFmtId="3" fontId="20" fillId="3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1" fillId="5" borderId="16" xfId="0" applyFont="1" applyFill="1" applyBorder="1" applyAlignment="1">
      <alignment horizontal="right"/>
    </xf>
    <xf numFmtId="0" fontId="21" fillId="5" borderId="1" xfId="0" applyFont="1" applyFill="1" applyBorder="1"/>
    <xf numFmtId="3" fontId="22" fillId="0" borderId="1" xfId="2" applyNumberFormat="1" applyFont="1" applyBorder="1"/>
    <xf numFmtId="0" fontId="15" fillId="3" borderId="16" xfId="0" applyFont="1" applyFill="1" applyBorder="1"/>
    <xf numFmtId="0" fontId="15" fillId="3" borderId="1" xfId="0" applyFont="1" applyFill="1" applyBorder="1" applyAlignment="1">
      <alignment horizontal="left"/>
    </xf>
    <xf numFmtId="3" fontId="15" fillId="3" borderId="1" xfId="0" applyNumberFormat="1" applyFont="1" applyFill="1" applyBorder="1" applyAlignment="1">
      <alignment horizontal="right"/>
    </xf>
    <xf numFmtId="0" fontId="15" fillId="3" borderId="18" xfId="0" applyFont="1" applyFill="1" applyBorder="1" applyAlignment="1">
      <alignment horizontal="right"/>
    </xf>
    <xf numFmtId="0" fontId="15" fillId="3" borderId="19" xfId="0" applyFont="1" applyFill="1" applyBorder="1"/>
    <xf numFmtId="0" fontId="23" fillId="3" borderId="19" xfId="0" applyFont="1" applyFill="1" applyBorder="1"/>
    <xf numFmtId="3" fontId="24" fillId="3" borderId="19" xfId="0" applyNumberFormat="1" applyFont="1" applyFill="1" applyBorder="1" applyAlignment="1">
      <alignment horizontal="right"/>
    </xf>
    <xf numFmtId="3" fontId="15" fillId="3" borderId="20" xfId="0" applyNumberFormat="1" applyFont="1" applyFill="1" applyBorder="1"/>
    <xf numFmtId="3" fontId="24" fillId="3" borderId="22" xfId="0" applyNumberFormat="1" applyFont="1" applyFill="1" applyBorder="1" applyAlignment="1">
      <alignment horizontal="right"/>
    </xf>
    <xf numFmtId="3" fontId="24" fillId="3" borderId="23" xfId="0" applyNumberFormat="1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3" fillId="0" borderId="25" xfId="0" applyFont="1" applyBorder="1"/>
    <xf numFmtId="0" fontId="0" fillId="0" borderId="25" xfId="0" applyBorder="1"/>
    <xf numFmtId="0" fontId="16" fillId="0" borderId="0" xfId="0" applyFont="1"/>
    <xf numFmtId="0" fontId="26" fillId="6" borderId="11" xfId="0" applyFont="1" applyFill="1" applyBorder="1" applyAlignment="1">
      <alignment horizontal="right"/>
    </xf>
    <xf numFmtId="0" fontId="26" fillId="6" borderId="4" xfId="0" applyFont="1" applyFill="1" applyBorder="1"/>
    <xf numFmtId="3" fontId="26" fillId="6" borderId="11" xfId="0" applyNumberFormat="1" applyFont="1" applyFill="1" applyBorder="1" applyAlignment="1">
      <alignment horizontal="right"/>
    </xf>
    <xf numFmtId="3" fontId="26" fillId="6" borderId="12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16" fillId="0" borderId="9" xfId="0" applyFont="1" applyBorder="1"/>
    <xf numFmtId="3" fontId="6" fillId="0" borderId="6" xfId="0" applyNumberFormat="1" applyFont="1" applyBorder="1" applyAlignment="1">
      <alignment horizontal="right"/>
    </xf>
    <xf numFmtId="3" fontId="6" fillId="0" borderId="26" xfId="0" applyNumberFormat="1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16" fillId="0" borderId="27" xfId="0" applyFont="1" applyBorder="1"/>
    <xf numFmtId="3" fontId="6" fillId="0" borderId="7" xfId="0" applyNumberFormat="1" applyFont="1" applyBorder="1" applyAlignment="1">
      <alignment horizontal="right"/>
    </xf>
    <xf numFmtId="3" fontId="6" fillId="0" borderId="0" xfId="0" applyNumberFormat="1" applyFont="1" applyBorder="1" applyAlignment="1">
      <alignment horizontal="right"/>
    </xf>
    <xf numFmtId="0" fontId="25" fillId="6" borderId="11" xfId="0" applyFont="1" applyFill="1" applyBorder="1" applyAlignment="1">
      <alignment horizontal="right"/>
    </xf>
    <xf numFmtId="0" fontId="6" fillId="0" borderId="27" xfId="0" applyFont="1" applyBorder="1"/>
    <xf numFmtId="0" fontId="6" fillId="0" borderId="9" xfId="0" applyFont="1" applyBorder="1"/>
    <xf numFmtId="0" fontId="26" fillId="0" borderId="11" xfId="0" applyFont="1" applyBorder="1" applyAlignment="1">
      <alignment horizontal="right"/>
    </xf>
    <xf numFmtId="0" fontId="26" fillId="0" borderId="4" xfId="0" applyFont="1" applyBorder="1"/>
    <xf numFmtId="3" fontId="26" fillId="0" borderId="11" xfId="0" applyNumberFormat="1" applyFont="1" applyBorder="1" applyAlignment="1">
      <alignment horizontal="right"/>
    </xf>
    <xf numFmtId="3" fontId="26" fillId="0" borderId="12" xfId="0" applyNumberFormat="1" applyFont="1" applyBorder="1" applyAlignment="1">
      <alignment horizontal="right"/>
    </xf>
    <xf numFmtId="0" fontId="27" fillId="6" borderId="11" xfId="0" applyFont="1" applyFill="1" applyBorder="1" applyAlignment="1">
      <alignment horizontal="right"/>
    </xf>
    <xf numFmtId="0" fontId="25" fillId="6" borderId="4" xfId="0" applyFont="1" applyFill="1" applyBorder="1"/>
    <xf numFmtId="3" fontId="27" fillId="6" borderId="11" xfId="0" applyNumberFormat="1" applyFont="1" applyFill="1" applyBorder="1" applyAlignment="1">
      <alignment horizontal="right"/>
    </xf>
    <xf numFmtId="3" fontId="27" fillId="6" borderId="12" xfId="0" applyNumberFormat="1" applyFont="1" applyFill="1" applyBorder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0" fontId="0" fillId="0" borderId="29" xfId="0" applyBorder="1"/>
    <xf numFmtId="2" fontId="0" fillId="0" borderId="0" xfId="0" applyNumberFormat="1"/>
    <xf numFmtId="0" fontId="0" fillId="7" borderId="29" xfId="0" applyFill="1" applyBorder="1"/>
    <xf numFmtId="2" fontId="0" fillId="7" borderId="0" xfId="0" applyNumberFormat="1" applyFill="1"/>
    <xf numFmtId="0" fontId="3" fillId="0" borderId="28" xfId="0" applyFont="1" applyBorder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43" fontId="0" fillId="0" borderId="0" xfId="1" applyNumberFormat="1" applyFont="1" applyAlignment="1">
      <alignment horizontal="center"/>
    </xf>
    <xf numFmtId="0" fontId="29" fillId="0" borderId="0" xfId="0" applyFont="1"/>
    <xf numFmtId="3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Border="1"/>
    <xf numFmtId="9" fontId="0" fillId="0" borderId="0" xfId="0" applyNumberFormat="1" applyFill="1" applyBorder="1" applyAlignment="1">
      <alignment horizontal="center"/>
    </xf>
    <xf numFmtId="0" fontId="0" fillId="0" borderId="0" xfId="0" applyBorder="1"/>
    <xf numFmtId="1" fontId="3" fillId="0" borderId="0" xfId="0" applyNumberFormat="1" applyFont="1" applyAlignment="1">
      <alignment horizontal="center"/>
    </xf>
    <xf numFmtId="9" fontId="0" fillId="0" borderId="0" xfId="3" applyFont="1"/>
    <xf numFmtId="10" fontId="0" fillId="0" borderId="0" xfId="3" applyNumberFormat="1" applyFont="1"/>
    <xf numFmtId="9" fontId="0" fillId="0" borderId="0" xfId="3" applyFont="1" applyAlignment="1">
      <alignment horizontal="center"/>
    </xf>
    <xf numFmtId="165" fontId="0" fillId="0" borderId="0" xfId="3" applyNumberFormat="1" applyFont="1" applyAlignment="1">
      <alignment horizontal="center"/>
    </xf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26" fillId="6" borderId="10" xfId="0" applyFont="1" applyFill="1" applyBorder="1" applyAlignment="1">
      <alignment horizontal="center"/>
    </xf>
    <xf numFmtId="0" fontId="26" fillId="6" borderId="12" xfId="0" applyFont="1" applyFill="1" applyBorder="1" applyAlignment="1">
      <alignment horizontal="center"/>
    </xf>
    <xf numFmtId="0" fontId="26" fillId="6" borderId="4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5" fillId="6" borderId="3" xfId="0" applyFont="1" applyFill="1" applyBorder="1" applyAlignment="1">
      <alignment horizontal="center" vertical="top" wrapText="1"/>
    </xf>
    <xf numFmtId="0" fontId="25" fillId="6" borderId="6" xfId="0" applyFont="1" applyFill="1" applyBorder="1" applyAlignment="1">
      <alignment horizontal="center" vertical="top" wrapText="1"/>
    </xf>
    <xf numFmtId="0" fontId="25" fillId="6" borderId="3" xfId="0" applyFont="1" applyFill="1" applyBorder="1" applyAlignment="1">
      <alignment horizontal="center" vertical="top"/>
    </xf>
    <xf numFmtId="0" fontId="25" fillId="6" borderId="7" xfId="0" applyFont="1" applyFill="1" applyBorder="1" applyAlignment="1">
      <alignment horizontal="center" vertical="top"/>
    </xf>
    <xf numFmtId="0" fontId="25" fillId="6" borderId="7" xfId="0" applyFont="1" applyFill="1" applyBorder="1" applyAlignment="1">
      <alignment horizontal="center" vertical="top" wrapText="1"/>
    </xf>
    <xf numFmtId="0" fontId="25" fillId="6" borderId="2" xfId="0" applyFont="1" applyFill="1" applyBorder="1" applyAlignment="1">
      <alignment horizontal="center" vertical="top" wrapText="1"/>
    </xf>
    <xf numFmtId="0" fontId="25" fillId="6" borderId="5" xfId="0" applyFont="1" applyFill="1" applyBorder="1" applyAlignment="1">
      <alignment horizontal="center" vertical="top" wrapText="1"/>
    </xf>
    <xf numFmtId="0" fontId="23" fillId="3" borderId="21" xfId="0" applyFont="1" applyFill="1" applyBorder="1" applyAlignment="1">
      <alignment horizontal="center"/>
    </xf>
    <xf numFmtId="0" fontId="23" fillId="3" borderId="22" xfId="0" applyFont="1" applyFill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/>
    </xf>
    <xf numFmtId="0" fontId="14" fillId="2" borderId="3" xfId="0" applyFont="1" applyFill="1" applyBorder="1" applyAlignment="1">
      <alignment horizontal="center" vertical="top"/>
    </xf>
    <xf numFmtId="0" fontId="14" fillId="2" borderId="6" xfId="0" applyFont="1" applyFill="1" applyBorder="1" applyAlignment="1">
      <alignment horizontal="center" vertical="top"/>
    </xf>
    <xf numFmtId="0" fontId="14" fillId="2" borderId="7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 wrapText="1"/>
    </xf>
    <xf numFmtId="0" fontId="14" fillId="2" borderId="8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14" fillId="2" borderId="6" xfId="0" applyFont="1" applyFill="1" applyBorder="1" applyAlignment="1">
      <alignment horizontal="center" vertical="top" wrapText="1"/>
    </xf>
    <xf numFmtId="0" fontId="28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9" fontId="8" fillId="0" borderId="1" xfId="3" applyFont="1" applyBorder="1" applyAlignment="1">
      <alignment horizontal="center" vertical="center" wrapText="1"/>
    </xf>
    <xf numFmtId="39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horizontal="left" indent="1"/>
    </xf>
    <xf numFmtId="165" fontId="0" fillId="0" borderId="0" xfId="0" applyNumberFormat="1" applyAlignment="1">
      <alignment horizontal="center"/>
    </xf>
  </cellXfs>
  <cellStyles count="4">
    <cellStyle name="Comma" xfId="1" builtinId="3"/>
    <cellStyle name="Comma 2" xfId="2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showGridLines="0" workbookViewId="0">
      <selection activeCell="E26" sqref="E26"/>
    </sheetView>
  </sheetViews>
  <sheetFormatPr baseColWidth="10" defaultRowHeight="13" x14ac:dyDescent="0.15"/>
  <cols>
    <col min="1" max="1" width="4.6640625" customWidth="1"/>
  </cols>
  <sheetData>
    <row r="1" spans="1:18" x14ac:dyDescent="0.15">
      <c r="A1" s="16" t="s">
        <v>28</v>
      </c>
    </row>
    <row r="2" spans="1:18" x14ac:dyDescent="0.15">
      <c r="A2" s="16" t="s">
        <v>26</v>
      </c>
    </row>
    <row r="3" spans="1:18" x14ac:dyDescent="0.15">
      <c r="A3" s="17" t="s">
        <v>27</v>
      </c>
    </row>
    <row r="4" spans="1:18" x14ac:dyDescent="0.15">
      <c r="A4" s="17" t="s">
        <v>29</v>
      </c>
    </row>
    <row r="6" spans="1:18" x14ac:dyDescent="0.15">
      <c r="G6" s="134" t="s">
        <v>209</v>
      </c>
      <c r="H6" s="135"/>
    </row>
    <row r="7" spans="1:18" x14ac:dyDescent="0.15">
      <c r="A7" s="130" t="s">
        <v>0</v>
      </c>
      <c r="B7" s="131" t="s">
        <v>1</v>
      </c>
      <c r="C7" s="130" t="s">
        <v>2</v>
      </c>
      <c r="D7" s="130"/>
      <c r="E7" s="130" t="s">
        <v>3</v>
      </c>
      <c r="F7" s="130"/>
      <c r="G7" s="132" t="s">
        <v>4</v>
      </c>
      <c r="H7" s="132"/>
      <c r="I7" s="130" t="s">
        <v>5</v>
      </c>
      <c r="J7" s="130"/>
      <c r="K7" s="133" t="s">
        <v>6</v>
      </c>
      <c r="L7" s="133"/>
      <c r="M7" s="133" t="s">
        <v>7</v>
      </c>
      <c r="N7" s="133"/>
      <c r="O7" s="133" t="s">
        <v>8</v>
      </c>
      <c r="P7" s="133"/>
      <c r="Q7" s="133" t="s">
        <v>9</v>
      </c>
      <c r="R7" s="133"/>
    </row>
    <row r="8" spans="1:18" x14ac:dyDescent="0.15">
      <c r="A8" s="130"/>
      <c r="B8" s="131"/>
      <c r="C8" s="1" t="s">
        <v>10</v>
      </c>
      <c r="D8" s="1" t="s">
        <v>11</v>
      </c>
      <c r="E8" s="1" t="s">
        <v>10</v>
      </c>
      <c r="F8" s="1" t="s">
        <v>11</v>
      </c>
      <c r="G8" s="1" t="s">
        <v>10</v>
      </c>
      <c r="H8" s="1" t="s">
        <v>11</v>
      </c>
      <c r="I8" s="1" t="s">
        <v>10</v>
      </c>
      <c r="J8" s="1" t="s">
        <v>11</v>
      </c>
      <c r="K8" s="2" t="s">
        <v>12</v>
      </c>
      <c r="L8" s="2" t="s">
        <v>11</v>
      </c>
      <c r="M8" s="2" t="s">
        <v>12</v>
      </c>
      <c r="N8" s="2" t="s">
        <v>11</v>
      </c>
      <c r="O8" s="2" t="s">
        <v>12</v>
      </c>
      <c r="P8" s="2" t="s">
        <v>11</v>
      </c>
      <c r="Q8" s="2" t="s">
        <v>12</v>
      </c>
      <c r="R8" s="2" t="s">
        <v>11</v>
      </c>
    </row>
    <row r="9" spans="1:18" x14ac:dyDescent="0.15">
      <c r="A9" s="3">
        <v>1</v>
      </c>
      <c r="B9" s="4" t="s">
        <v>13</v>
      </c>
      <c r="C9" s="5">
        <v>20091.121440000003</v>
      </c>
      <c r="D9" s="6">
        <v>66928.5106684903</v>
      </c>
      <c r="E9" s="5">
        <v>14599.875000000002</v>
      </c>
      <c r="F9" s="5">
        <v>41967.319345539756</v>
      </c>
      <c r="G9" s="5">
        <v>18020</v>
      </c>
      <c r="H9" s="5">
        <v>56720</v>
      </c>
      <c r="I9" s="5">
        <v>12263</v>
      </c>
      <c r="J9" s="5">
        <v>33288</v>
      </c>
      <c r="K9" s="7">
        <v>39657</v>
      </c>
      <c r="L9" s="7">
        <v>29000</v>
      </c>
      <c r="M9" s="7">
        <v>31545</v>
      </c>
      <c r="N9" s="7">
        <v>35800</v>
      </c>
      <c r="O9" s="7">
        <v>47137</v>
      </c>
      <c r="P9" s="7">
        <v>21500</v>
      </c>
      <c r="Q9" s="7">
        <v>37176</v>
      </c>
      <c r="R9" s="7">
        <v>20500</v>
      </c>
    </row>
    <row r="10" spans="1:18" x14ac:dyDescent="0.15">
      <c r="A10" s="3">
        <v>2</v>
      </c>
      <c r="B10" s="4" t="s">
        <v>14</v>
      </c>
      <c r="C10" s="5">
        <v>20566.55</v>
      </c>
      <c r="D10" s="5">
        <v>68730.44</v>
      </c>
      <c r="E10" s="8">
        <v>13645.27</v>
      </c>
      <c r="F10" s="8">
        <v>40672.671247738814</v>
      </c>
      <c r="G10" s="5">
        <v>14859</v>
      </c>
      <c r="H10" s="5">
        <v>45707</v>
      </c>
      <c r="I10" s="5">
        <v>15118</v>
      </c>
      <c r="J10" s="5">
        <v>41503</v>
      </c>
      <c r="K10" s="7">
        <v>13944</v>
      </c>
      <c r="L10" s="7">
        <v>38000</v>
      </c>
      <c r="M10" s="7">
        <v>4900</v>
      </c>
      <c r="N10" s="7">
        <v>29700</v>
      </c>
      <c r="O10" s="7">
        <v>5917</v>
      </c>
      <c r="P10" s="7">
        <v>19200</v>
      </c>
      <c r="Q10" s="7">
        <v>7339</v>
      </c>
      <c r="R10" s="7">
        <v>14800</v>
      </c>
    </row>
    <row r="11" spans="1:18" x14ac:dyDescent="0.15">
      <c r="A11" s="3">
        <v>3</v>
      </c>
      <c r="B11" s="9" t="s">
        <v>15</v>
      </c>
      <c r="C11" s="5">
        <v>14862.631000000007</v>
      </c>
      <c r="D11" s="5">
        <v>49074.041636826012</v>
      </c>
      <c r="E11" s="5">
        <v>7070.24</v>
      </c>
      <c r="F11" s="5">
        <v>22051.147615669404</v>
      </c>
      <c r="G11" s="5">
        <v>11120</v>
      </c>
      <c r="H11" s="5">
        <v>30855</v>
      </c>
      <c r="I11" s="5">
        <v>6575</v>
      </c>
      <c r="J11" s="5">
        <v>17577</v>
      </c>
      <c r="K11" s="7">
        <v>7403</v>
      </c>
      <c r="L11" s="7">
        <v>27400</v>
      </c>
      <c r="M11" s="7">
        <v>5275</v>
      </c>
      <c r="N11" s="7">
        <v>14500</v>
      </c>
      <c r="O11" s="7">
        <v>11540</v>
      </c>
      <c r="P11" s="7">
        <v>11900</v>
      </c>
      <c r="Q11" s="7">
        <v>5804</v>
      </c>
      <c r="R11" s="7">
        <v>13100</v>
      </c>
    </row>
    <row r="12" spans="1:18" x14ac:dyDescent="0.15">
      <c r="A12" s="3">
        <v>4</v>
      </c>
      <c r="B12" s="4" t="s">
        <v>16</v>
      </c>
      <c r="C12" s="5">
        <v>15632.326000000005</v>
      </c>
      <c r="D12" s="5">
        <v>52749.348676781963</v>
      </c>
      <c r="E12" s="10">
        <v>8308</v>
      </c>
      <c r="F12" s="10">
        <v>24272</v>
      </c>
      <c r="G12" s="10">
        <v>7131</v>
      </c>
      <c r="H12" s="10">
        <v>20382</v>
      </c>
      <c r="I12" s="10">
        <v>7939</v>
      </c>
      <c r="J12" s="10">
        <v>22657</v>
      </c>
      <c r="K12" s="7">
        <v>18480</v>
      </c>
      <c r="L12" s="7">
        <v>18500</v>
      </c>
      <c r="M12" s="7">
        <v>9603</v>
      </c>
      <c r="N12" s="7">
        <v>6800</v>
      </c>
      <c r="O12" s="7">
        <v>10090</v>
      </c>
      <c r="P12" s="7">
        <v>13500</v>
      </c>
      <c r="Q12" s="7">
        <v>5910</v>
      </c>
      <c r="R12" s="7">
        <v>9600</v>
      </c>
    </row>
    <row r="13" spans="1:18" x14ac:dyDescent="0.15">
      <c r="A13" s="3">
        <v>5</v>
      </c>
      <c r="B13" s="4" t="s">
        <v>17</v>
      </c>
      <c r="C13" s="5">
        <v>12725.22</v>
      </c>
      <c r="D13" s="5">
        <v>42699.389524993647</v>
      </c>
      <c r="E13" s="5">
        <v>5607.0949999999984</v>
      </c>
      <c r="F13" s="5">
        <v>16542.611631718806</v>
      </c>
      <c r="G13" s="5">
        <v>3709</v>
      </c>
      <c r="H13" s="5">
        <v>10163</v>
      </c>
      <c r="I13" s="5">
        <v>4415</v>
      </c>
      <c r="J13" s="5">
        <v>12729</v>
      </c>
      <c r="K13" s="7">
        <v>18373</v>
      </c>
      <c r="L13" s="7">
        <v>18200</v>
      </c>
      <c r="M13" s="7">
        <v>9413</v>
      </c>
      <c r="N13" s="7">
        <v>13300</v>
      </c>
      <c r="O13" s="7">
        <v>15497</v>
      </c>
      <c r="P13" s="7">
        <v>12700</v>
      </c>
      <c r="Q13" s="7">
        <v>14853</v>
      </c>
      <c r="R13" s="7">
        <v>6300</v>
      </c>
    </row>
    <row r="14" spans="1:18" x14ac:dyDescent="0.15">
      <c r="A14" s="3">
        <v>6</v>
      </c>
      <c r="B14" s="4" t="s">
        <v>18</v>
      </c>
      <c r="C14" s="5">
        <v>11223.7</v>
      </c>
      <c r="D14" s="5">
        <v>40225.803999999996</v>
      </c>
      <c r="E14" s="5">
        <v>5505.6399999999985</v>
      </c>
      <c r="F14" s="5">
        <v>17416.532009242557</v>
      </c>
      <c r="G14" s="5">
        <v>4348</v>
      </c>
      <c r="H14" s="5">
        <v>11154</v>
      </c>
      <c r="I14" s="5">
        <v>5468</v>
      </c>
      <c r="J14" s="5">
        <v>16992</v>
      </c>
      <c r="K14" s="7">
        <v>7435</v>
      </c>
      <c r="L14" s="7">
        <v>26100</v>
      </c>
      <c r="M14" s="7">
        <v>11860</v>
      </c>
      <c r="N14" s="7">
        <v>13700</v>
      </c>
      <c r="O14" s="7">
        <v>8738</v>
      </c>
      <c r="P14" s="7">
        <v>8200</v>
      </c>
      <c r="Q14" s="7">
        <v>24241</v>
      </c>
      <c r="R14" s="7">
        <v>6500</v>
      </c>
    </row>
    <row r="15" spans="1:18" x14ac:dyDescent="0.15">
      <c r="A15" s="3">
        <v>7</v>
      </c>
      <c r="B15" s="4" t="s">
        <v>19</v>
      </c>
      <c r="C15" s="5">
        <v>13684.486999999999</v>
      </c>
      <c r="D15" s="5">
        <v>59408.960117094466</v>
      </c>
      <c r="E15" s="5">
        <v>8342.2800000000007</v>
      </c>
      <c r="F15" s="5">
        <v>29454.383688235084</v>
      </c>
      <c r="G15" s="5">
        <v>7413</v>
      </c>
      <c r="H15" s="5">
        <v>19271</v>
      </c>
      <c r="I15" s="5">
        <v>12722</v>
      </c>
      <c r="J15" s="5">
        <v>40369</v>
      </c>
      <c r="K15" s="7">
        <v>1738</v>
      </c>
      <c r="L15" s="7">
        <v>21300</v>
      </c>
      <c r="M15" s="7">
        <v>30419</v>
      </c>
      <c r="N15" s="7">
        <v>18300</v>
      </c>
      <c r="O15" s="7">
        <v>14107</v>
      </c>
      <c r="P15" s="7">
        <v>18800</v>
      </c>
      <c r="Q15" s="7">
        <v>32084</v>
      </c>
      <c r="R15" s="7">
        <v>6000</v>
      </c>
    </row>
    <row r="16" spans="1:18" x14ac:dyDescent="0.15">
      <c r="A16" s="3">
        <v>8</v>
      </c>
      <c r="B16" s="4" t="s">
        <v>20</v>
      </c>
      <c r="C16" s="5">
        <v>13789.985999999999</v>
      </c>
      <c r="D16" s="5">
        <v>67256.953268425132</v>
      </c>
      <c r="E16" s="5">
        <v>11644.64</v>
      </c>
      <c r="F16" s="5">
        <v>39374.997077156833</v>
      </c>
      <c r="G16" s="5">
        <v>10073.450000000001</v>
      </c>
      <c r="H16" s="5">
        <v>27463.541241173669</v>
      </c>
      <c r="I16" s="5">
        <v>20959</v>
      </c>
      <c r="J16" s="5">
        <v>66012</v>
      </c>
      <c r="K16" s="7">
        <v>23997</v>
      </c>
      <c r="L16" s="7">
        <v>28200</v>
      </c>
      <c r="M16" s="7">
        <v>18845</v>
      </c>
      <c r="N16" s="7">
        <v>36100</v>
      </c>
      <c r="O16" s="7">
        <v>30762</v>
      </c>
      <c r="P16" s="7">
        <v>26100</v>
      </c>
      <c r="Q16" s="7">
        <v>9132</v>
      </c>
      <c r="R16" s="7">
        <v>18000</v>
      </c>
    </row>
    <row r="17" spans="1:18" x14ac:dyDescent="0.15">
      <c r="A17" s="3">
        <v>9</v>
      </c>
      <c r="B17" s="4" t="s">
        <v>21</v>
      </c>
      <c r="C17" s="5">
        <v>18058</v>
      </c>
      <c r="D17" s="5">
        <v>94300</v>
      </c>
      <c r="E17" s="5">
        <v>17663</v>
      </c>
      <c r="F17" s="5">
        <v>56990</v>
      </c>
      <c r="G17" s="5">
        <v>10924.21</v>
      </c>
      <c r="H17" s="5">
        <v>29169.929449228115</v>
      </c>
      <c r="I17" s="5">
        <v>27485</v>
      </c>
      <c r="J17" s="5">
        <v>85976</v>
      </c>
      <c r="K17" s="7">
        <v>17661</v>
      </c>
      <c r="L17" s="7">
        <v>36200</v>
      </c>
      <c r="M17" s="7">
        <v>24876</v>
      </c>
      <c r="N17" s="7">
        <v>54100</v>
      </c>
      <c r="O17" s="7">
        <v>17393</v>
      </c>
      <c r="P17" s="7">
        <v>41300</v>
      </c>
      <c r="Q17" s="7">
        <v>14063</v>
      </c>
      <c r="R17" s="7">
        <v>25300</v>
      </c>
    </row>
    <row r="18" spans="1:18" x14ac:dyDescent="0.15">
      <c r="A18" s="3">
        <v>10</v>
      </c>
      <c r="B18" s="4" t="s">
        <v>22</v>
      </c>
      <c r="C18" s="5">
        <v>17561.140000000007</v>
      </c>
      <c r="D18" s="5">
        <v>92240.78427085749</v>
      </c>
      <c r="E18" s="5">
        <v>24629</v>
      </c>
      <c r="F18" s="5">
        <v>75027</v>
      </c>
      <c r="G18" s="5">
        <v>10248</v>
      </c>
      <c r="H18" s="5">
        <v>26250.914010130611</v>
      </c>
      <c r="I18" s="5">
        <v>20497</v>
      </c>
      <c r="J18" s="5">
        <v>65808</v>
      </c>
      <c r="K18" s="7">
        <v>16324</v>
      </c>
      <c r="L18" s="7">
        <v>38400</v>
      </c>
      <c r="M18" s="7">
        <v>17009</v>
      </c>
      <c r="N18" s="7">
        <v>41700</v>
      </c>
      <c r="O18" s="7">
        <v>17277</v>
      </c>
      <c r="P18" s="7">
        <v>41200</v>
      </c>
      <c r="Q18" s="7">
        <v>8277</v>
      </c>
      <c r="R18" s="7">
        <v>24100</v>
      </c>
    </row>
    <row r="19" spans="1:18" x14ac:dyDescent="0.15">
      <c r="A19" s="3">
        <v>11</v>
      </c>
      <c r="B19" s="4" t="s">
        <v>23</v>
      </c>
      <c r="C19" s="5">
        <v>19473.878000000001</v>
      </c>
      <c r="D19" s="5">
        <v>107039.24950096723</v>
      </c>
      <c r="E19" s="5">
        <v>26619</v>
      </c>
      <c r="F19" s="5">
        <v>79515</v>
      </c>
      <c r="G19" s="5">
        <v>16596</v>
      </c>
      <c r="H19" s="5">
        <v>44386</v>
      </c>
      <c r="I19" s="5">
        <v>19117</v>
      </c>
      <c r="J19" s="5">
        <v>62463</v>
      </c>
      <c r="K19" s="7">
        <v>18825</v>
      </c>
      <c r="L19" s="7">
        <v>43600</v>
      </c>
      <c r="M19" s="7">
        <v>10184</v>
      </c>
      <c r="N19" s="7">
        <v>56800</v>
      </c>
      <c r="O19" s="7">
        <v>15028</v>
      </c>
      <c r="P19" s="7">
        <v>49300</v>
      </c>
      <c r="Q19" s="7">
        <v>14418</v>
      </c>
      <c r="R19" s="7">
        <v>30100</v>
      </c>
    </row>
    <row r="20" spans="1:18" x14ac:dyDescent="0.15">
      <c r="A20" s="11">
        <v>12</v>
      </c>
      <c r="B20" s="4" t="s">
        <v>24</v>
      </c>
      <c r="C20" s="5">
        <v>18448.53</v>
      </c>
      <c r="D20" s="5">
        <v>100995.742</v>
      </c>
      <c r="E20" s="5">
        <v>28576.400000000005</v>
      </c>
      <c r="F20" s="5">
        <v>84971.722171840476</v>
      </c>
      <c r="G20" s="5">
        <v>19550</v>
      </c>
      <c r="H20" s="5">
        <v>54314</v>
      </c>
      <c r="I20" s="5">
        <v>18401</v>
      </c>
      <c r="J20" s="5">
        <v>60055</v>
      </c>
      <c r="K20" s="7">
        <v>15849</v>
      </c>
      <c r="L20" s="7">
        <v>76400</v>
      </c>
      <c r="M20" s="7">
        <v>14107</v>
      </c>
      <c r="N20" s="7">
        <v>54600</v>
      </c>
      <c r="O20" s="7">
        <v>7294</v>
      </c>
      <c r="P20" s="7">
        <v>53400</v>
      </c>
      <c r="Q20" s="7">
        <v>9492</v>
      </c>
      <c r="R20" s="7">
        <v>31300</v>
      </c>
    </row>
    <row r="21" spans="1:18" x14ac:dyDescent="0.15">
      <c r="A21" s="12"/>
      <c r="B21" s="13" t="s">
        <v>25</v>
      </c>
      <c r="C21" s="14">
        <f t="shared" ref="C21:J21" si="0">SUM(C9:C20)</f>
        <v>196117.56944000002</v>
      </c>
      <c r="D21" s="14">
        <f t="shared" si="0"/>
        <v>841649.22366443614</v>
      </c>
      <c r="E21" s="14">
        <f t="shared" si="0"/>
        <v>172210.44</v>
      </c>
      <c r="F21" s="14">
        <f t="shared" si="0"/>
        <v>528255.38478714169</v>
      </c>
      <c r="G21" s="14">
        <f t="shared" si="0"/>
        <v>133991.66</v>
      </c>
      <c r="H21" s="14">
        <f t="shared" si="0"/>
        <v>375836.38470053236</v>
      </c>
      <c r="I21" s="14">
        <f t="shared" si="0"/>
        <v>170959</v>
      </c>
      <c r="J21" s="14">
        <f t="shared" si="0"/>
        <v>525429</v>
      </c>
      <c r="K21" s="15">
        <f t="shared" ref="K21:R21" si="1">SUM(K9:K20)</f>
        <v>199686</v>
      </c>
      <c r="L21" s="15">
        <f t="shared" si="1"/>
        <v>401300</v>
      </c>
      <c r="M21" s="15">
        <f t="shared" si="1"/>
        <v>188036</v>
      </c>
      <c r="N21" s="15">
        <f t="shared" si="1"/>
        <v>375400</v>
      </c>
      <c r="O21" s="15">
        <f t="shared" si="1"/>
        <v>200780</v>
      </c>
      <c r="P21" s="15">
        <f t="shared" si="1"/>
        <v>317100</v>
      </c>
      <c r="Q21" s="15">
        <f t="shared" si="1"/>
        <v>182789</v>
      </c>
      <c r="R21" s="15">
        <f t="shared" si="1"/>
        <v>205600</v>
      </c>
    </row>
    <row r="23" spans="1:18" x14ac:dyDescent="0.15">
      <c r="C23" s="58"/>
      <c r="E23" s="58"/>
      <c r="G23" s="58"/>
      <c r="I23" s="58"/>
      <c r="K23" s="58"/>
      <c r="M23" s="58"/>
      <c r="O23" s="58"/>
      <c r="Q23" s="58"/>
    </row>
  </sheetData>
  <mergeCells count="11">
    <mergeCell ref="K7:L7"/>
    <mergeCell ref="M7:N7"/>
    <mergeCell ref="O7:P7"/>
    <mergeCell ref="Q7:R7"/>
    <mergeCell ref="G6:H6"/>
    <mergeCell ref="I7:J7"/>
    <mergeCell ref="A7:A8"/>
    <mergeCell ref="B7:B8"/>
    <mergeCell ref="C7:D7"/>
    <mergeCell ref="E7:F7"/>
    <mergeCell ref="G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showGridLines="0" workbookViewId="0">
      <selection activeCell="J12" sqref="J12"/>
    </sheetView>
  </sheetViews>
  <sheetFormatPr baseColWidth="10" defaultColWidth="8.83203125" defaultRowHeight="13" x14ac:dyDescent="0.15"/>
  <cols>
    <col min="1" max="1" width="7" customWidth="1"/>
    <col min="2" max="2" width="11.1640625" customWidth="1"/>
    <col min="3" max="3" width="27" customWidth="1"/>
    <col min="4" max="4" width="12.1640625" customWidth="1"/>
    <col min="5" max="5" width="13" customWidth="1"/>
    <col min="6" max="6" width="15.6640625" customWidth="1"/>
    <col min="9" max="12" width="12.1640625" customWidth="1"/>
  </cols>
  <sheetData>
    <row r="1" spans="1:13" ht="18" x14ac:dyDescent="0.2">
      <c r="A1" s="139" t="s">
        <v>28</v>
      </c>
      <c r="B1" s="139"/>
      <c r="C1" s="139"/>
      <c r="D1" s="139"/>
      <c r="E1" s="139"/>
    </row>
    <row r="2" spans="1:13" ht="16" x14ac:dyDescent="0.2">
      <c r="A2" s="140" t="s">
        <v>161</v>
      </c>
      <c r="B2" s="141"/>
      <c r="C2" s="141"/>
      <c r="D2" s="141"/>
      <c r="E2" s="141"/>
    </row>
    <row r="3" spans="1:13" x14ac:dyDescent="0.15">
      <c r="A3" s="79" t="s">
        <v>115</v>
      </c>
      <c r="C3" s="79"/>
    </row>
    <row r="4" spans="1:13" ht="14" thickBot="1" x14ac:dyDescent="0.2">
      <c r="A4" s="79"/>
      <c r="C4" s="79"/>
    </row>
    <row r="5" spans="1:13" x14ac:dyDescent="0.15">
      <c r="A5" s="144" t="s">
        <v>116</v>
      </c>
      <c r="B5" s="144" t="s">
        <v>31</v>
      </c>
      <c r="C5" s="144" t="s">
        <v>32</v>
      </c>
      <c r="D5" s="142" t="s">
        <v>117</v>
      </c>
      <c r="E5" s="147" t="s">
        <v>118</v>
      </c>
      <c r="F5" s="142" t="s">
        <v>162</v>
      </c>
    </row>
    <row r="6" spans="1:13" ht="14" thickBot="1" x14ac:dyDescent="0.2">
      <c r="A6" s="145"/>
      <c r="B6" s="145"/>
      <c r="C6" s="145"/>
      <c r="D6" s="146"/>
      <c r="E6" s="148"/>
      <c r="F6" s="143"/>
      <c r="I6" s="77" t="s">
        <v>114</v>
      </c>
      <c r="J6" s="78"/>
      <c r="K6" s="78"/>
      <c r="L6" s="78"/>
    </row>
    <row r="7" spans="1:13" ht="14" thickBot="1" x14ac:dyDescent="0.2">
      <c r="A7" s="80">
        <v>1</v>
      </c>
      <c r="B7" s="81" t="s">
        <v>36</v>
      </c>
      <c r="C7" s="81"/>
      <c r="D7" s="82">
        <v>58003.8</v>
      </c>
      <c r="E7" s="83">
        <v>193457.4</v>
      </c>
      <c r="F7" s="82">
        <f>E7*1000/D7</f>
        <v>3335.2538971584618</v>
      </c>
      <c r="J7" s="75" t="s">
        <v>109</v>
      </c>
      <c r="K7" s="75" t="s">
        <v>34</v>
      </c>
      <c r="L7" s="75" t="s">
        <v>110</v>
      </c>
    </row>
    <row r="8" spans="1:13" ht="14" thickBot="1" x14ac:dyDescent="0.2">
      <c r="A8" s="103"/>
      <c r="B8" s="84">
        <v>1</v>
      </c>
      <c r="C8" s="85" t="s">
        <v>37</v>
      </c>
      <c r="D8" s="86">
        <v>35753.1</v>
      </c>
      <c r="E8" s="87">
        <v>129058.4</v>
      </c>
      <c r="F8" s="86">
        <f t="shared" ref="F8:F71" si="0">E8*1000/D8</f>
        <v>3609.7121648192747</v>
      </c>
      <c r="G8" t="s">
        <v>107</v>
      </c>
      <c r="I8" t="s">
        <v>108</v>
      </c>
      <c r="J8" s="58">
        <f>SUMIF($G$8:$G$82,"W",D$8:D$82)</f>
        <v>54423.899999999994</v>
      </c>
      <c r="K8" s="58">
        <f>SUMIF($G$8:$G$82,"W",E$8:E$82)</f>
        <v>196727.80000000002</v>
      </c>
      <c r="L8" s="58">
        <f>K8/J8*1000</f>
        <v>3614.7317630673297</v>
      </c>
      <c r="M8" s="58"/>
    </row>
    <row r="9" spans="1:13" ht="14" thickBot="1" x14ac:dyDescent="0.2">
      <c r="A9" s="103"/>
      <c r="B9" s="84">
        <v>2</v>
      </c>
      <c r="C9" s="85" t="s">
        <v>38</v>
      </c>
      <c r="D9" s="86">
        <v>18711.5</v>
      </c>
      <c r="E9" s="87">
        <v>53478.2</v>
      </c>
      <c r="F9" s="86">
        <f t="shared" si="0"/>
        <v>2858.0391737701411</v>
      </c>
      <c r="I9" t="s">
        <v>112</v>
      </c>
      <c r="J9" s="58">
        <f>J10-J8</f>
        <v>116537</v>
      </c>
      <c r="K9" s="58">
        <f>K10-K8</f>
        <v>328702.79999999993</v>
      </c>
      <c r="L9" s="58">
        <f>K9/J9*1000</f>
        <v>2820.5874529119501</v>
      </c>
    </row>
    <row r="10" spans="1:13" ht="14" thickBot="1" x14ac:dyDescent="0.2">
      <c r="A10" s="103"/>
      <c r="B10" s="84">
        <v>3</v>
      </c>
      <c r="C10" s="85" t="s">
        <v>39</v>
      </c>
      <c r="D10" s="86">
        <v>1951.2</v>
      </c>
      <c r="E10" s="87">
        <v>5420.4</v>
      </c>
      <c r="F10" s="86">
        <f t="shared" si="0"/>
        <v>2777.9827798277984</v>
      </c>
      <c r="G10" t="s">
        <v>107</v>
      </c>
      <c r="I10" s="74" t="s">
        <v>113</v>
      </c>
      <c r="J10" s="76">
        <f>D104</f>
        <v>170960.9</v>
      </c>
      <c r="K10" s="76">
        <f>E104</f>
        <v>525430.6</v>
      </c>
      <c r="L10" s="76">
        <f>K10/J10*1000</f>
        <v>3073.3963145959106</v>
      </c>
    </row>
    <row r="11" spans="1:13" ht="14" thickBot="1" x14ac:dyDescent="0.2">
      <c r="A11" s="103"/>
      <c r="B11" s="84">
        <v>4</v>
      </c>
      <c r="C11" s="85" t="s">
        <v>40</v>
      </c>
      <c r="D11" s="86">
        <v>484.2</v>
      </c>
      <c r="E11" s="87">
        <v>1413.4</v>
      </c>
      <c r="F11" s="86">
        <f t="shared" si="0"/>
        <v>2919.0417182982242</v>
      </c>
      <c r="G11" t="s">
        <v>107</v>
      </c>
    </row>
    <row r="12" spans="1:13" ht="14" thickBot="1" x14ac:dyDescent="0.2">
      <c r="A12" s="103"/>
      <c r="B12" s="84">
        <v>5</v>
      </c>
      <c r="C12" s="85" t="s">
        <v>119</v>
      </c>
      <c r="D12" s="86">
        <v>417.5</v>
      </c>
      <c r="E12" s="87">
        <v>1512.7</v>
      </c>
      <c r="F12" s="86">
        <f t="shared" si="0"/>
        <v>3623.2335329341317</v>
      </c>
      <c r="G12" t="s">
        <v>107</v>
      </c>
      <c r="J12" s="122"/>
    </row>
    <row r="13" spans="1:13" ht="14" thickBot="1" x14ac:dyDescent="0.2">
      <c r="A13" s="103"/>
      <c r="B13" s="84">
        <v>6</v>
      </c>
      <c r="C13" s="85" t="s">
        <v>120</v>
      </c>
      <c r="D13" s="86">
        <v>280.7</v>
      </c>
      <c r="E13" s="87">
        <v>1131.5999999999999</v>
      </c>
      <c r="F13" s="86">
        <f t="shared" si="0"/>
        <v>4031.3501959387249</v>
      </c>
      <c r="G13" t="s">
        <v>107</v>
      </c>
    </row>
    <row r="14" spans="1:13" ht="14" thickBot="1" x14ac:dyDescent="0.2">
      <c r="A14" s="103"/>
      <c r="B14" s="84">
        <v>7</v>
      </c>
      <c r="C14" s="85" t="s">
        <v>41</v>
      </c>
      <c r="D14" s="86">
        <v>260.39999999999998</v>
      </c>
      <c r="E14" s="87">
        <v>1055</v>
      </c>
      <c r="F14" s="86">
        <f t="shared" si="0"/>
        <v>4051.4592933947774</v>
      </c>
    </row>
    <row r="15" spans="1:13" ht="14" thickBot="1" x14ac:dyDescent="0.2">
      <c r="A15" s="103"/>
      <c r="B15" s="84">
        <v>8</v>
      </c>
      <c r="C15" s="85" t="s">
        <v>42</v>
      </c>
      <c r="D15" s="86">
        <v>88.8</v>
      </c>
      <c r="E15" s="87">
        <v>215.3</v>
      </c>
      <c r="F15" s="86">
        <f t="shared" si="0"/>
        <v>2424.5495495495497</v>
      </c>
    </row>
    <row r="16" spans="1:13" ht="14" thickBot="1" x14ac:dyDescent="0.2">
      <c r="A16" s="103"/>
      <c r="B16" s="84">
        <v>9</v>
      </c>
      <c r="C16" s="85" t="s">
        <v>43</v>
      </c>
      <c r="D16" s="86">
        <v>29.4</v>
      </c>
      <c r="E16" s="87">
        <v>101.2</v>
      </c>
      <c r="F16" s="86">
        <f t="shared" si="0"/>
        <v>3442.1768707482993</v>
      </c>
      <c r="G16" t="s">
        <v>107</v>
      </c>
    </row>
    <row r="17" spans="1:7" ht="14" thickBot="1" x14ac:dyDescent="0.2">
      <c r="A17" s="104"/>
      <c r="B17" s="88">
        <v>10</v>
      </c>
      <c r="C17" s="89" t="s">
        <v>121</v>
      </c>
      <c r="D17" s="90">
        <v>27</v>
      </c>
      <c r="E17" s="91">
        <v>71.099999999999994</v>
      </c>
      <c r="F17" s="90">
        <f t="shared" si="0"/>
        <v>2633.3333333333335</v>
      </c>
    </row>
    <row r="18" spans="1:7" ht="14" thickBot="1" x14ac:dyDescent="0.2">
      <c r="A18" s="80">
        <v>2</v>
      </c>
      <c r="B18" s="81" t="s">
        <v>46</v>
      </c>
      <c r="C18" s="81"/>
      <c r="D18" s="82">
        <v>49638.2</v>
      </c>
      <c r="E18" s="83">
        <v>128679.6</v>
      </c>
      <c r="F18" s="82">
        <f t="shared" si="0"/>
        <v>2592.3502463828263</v>
      </c>
    </row>
    <row r="19" spans="1:7" ht="14" thickBot="1" x14ac:dyDescent="0.2">
      <c r="A19" s="103"/>
      <c r="B19" s="84">
        <v>1</v>
      </c>
      <c r="C19" s="85" t="s">
        <v>47</v>
      </c>
      <c r="D19" s="86">
        <v>40544.699999999997</v>
      </c>
      <c r="E19" s="87">
        <v>106666.8</v>
      </c>
      <c r="F19" s="86">
        <f t="shared" si="0"/>
        <v>2630.8444753568288</v>
      </c>
    </row>
    <row r="20" spans="1:7" ht="14" thickBot="1" x14ac:dyDescent="0.2">
      <c r="A20" s="103"/>
      <c r="B20" s="84">
        <v>2</v>
      </c>
      <c r="C20" s="85" t="s">
        <v>48</v>
      </c>
      <c r="D20" s="86">
        <v>6588.1</v>
      </c>
      <c r="E20" s="87">
        <v>15055</v>
      </c>
      <c r="F20" s="86">
        <f t="shared" si="0"/>
        <v>2285.1808563925865</v>
      </c>
    </row>
    <row r="21" spans="1:7" ht="14" thickBot="1" x14ac:dyDescent="0.2">
      <c r="A21" s="103"/>
      <c r="B21" s="84">
        <v>3</v>
      </c>
      <c r="C21" s="85" t="s">
        <v>49</v>
      </c>
      <c r="D21" s="86">
        <v>1740.2</v>
      </c>
      <c r="E21" s="87">
        <v>4903.3</v>
      </c>
      <c r="F21" s="86">
        <f t="shared" si="0"/>
        <v>2817.6646362487068</v>
      </c>
    </row>
    <row r="22" spans="1:7" ht="14" thickBot="1" x14ac:dyDescent="0.2">
      <c r="A22" s="103"/>
      <c r="B22" s="84">
        <v>4</v>
      </c>
      <c r="C22" s="85" t="s">
        <v>46</v>
      </c>
      <c r="D22" s="86">
        <v>490</v>
      </c>
      <c r="E22" s="87">
        <v>1282.7</v>
      </c>
      <c r="F22" s="86">
        <f t="shared" si="0"/>
        <v>2617.7551020408164</v>
      </c>
    </row>
    <row r="23" spans="1:7" ht="14" thickBot="1" x14ac:dyDescent="0.2">
      <c r="A23" s="103"/>
      <c r="B23" s="84">
        <v>5</v>
      </c>
      <c r="C23" s="85" t="s">
        <v>122</v>
      </c>
      <c r="D23" s="86">
        <v>156</v>
      </c>
      <c r="E23" s="87">
        <v>471.4</v>
      </c>
      <c r="F23" s="86">
        <f t="shared" si="0"/>
        <v>3021.7948717948716</v>
      </c>
    </row>
    <row r="24" spans="1:7" ht="14" thickBot="1" x14ac:dyDescent="0.2">
      <c r="A24" s="103"/>
      <c r="B24" s="84">
        <v>6</v>
      </c>
      <c r="C24" s="85" t="s">
        <v>51</v>
      </c>
      <c r="D24" s="86">
        <v>108</v>
      </c>
      <c r="E24" s="87">
        <v>274</v>
      </c>
      <c r="F24" s="86">
        <f t="shared" si="0"/>
        <v>2537.037037037037</v>
      </c>
    </row>
    <row r="25" spans="1:7" ht="14" thickBot="1" x14ac:dyDescent="0.2">
      <c r="A25" s="104"/>
      <c r="B25" s="88">
        <v>7</v>
      </c>
      <c r="C25" s="89" t="s">
        <v>123</v>
      </c>
      <c r="D25" s="90">
        <v>11.3</v>
      </c>
      <c r="E25" s="91">
        <v>26.3</v>
      </c>
      <c r="F25" s="90">
        <f t="shared" si="0"/>
        <v>2327.4336283185839</v>
      </c>
    </row>
    <row r="26" spans="1:7" ht="14" thickBot="1" x14ac:dyDescent="0.2">
      <c r="A26" s="92">
        <v>3</v>
      </c>
      <c r="B26" s="81" t="s">
        <v>52</v>
      </c>
      <c r="C26" s="81"/>
      <c r="D26" s="82">
        <v>30744.7</v>
      </c>
      <c r="E26" s="83">
        <v>85611.4</v>
      </c>
      <c r="F26" s="82">
        <f t="shared" si="0"/>
        <v>2784.5905147879148</v>
      </c>
    </row>
    <row r="27" spans="1:7" ht="14" thickBot="1" x14ac:dyDescent="0.2">
      <c r="A27" s="103"/>
      <c r="B27" s="84">
        <v>1</v>
      </c>
      <c r="C27" s="85" t="s">
        <v>53</v>
      </c>
      <c r="D27" s="86">
        <v>24305.4</v>
      </c>
      <c r="E27" s="87">
        <v>66815</v>
      </c>
      <c r="F27" s="86">
        <f t="shared" si="0"/>
        <v>2748.9775934565978</v>
      </c>
    </row>
    <row r="28" spans="1:7" ht="14" thickBot="1" x14ac:dyDescent="0.2">
      <c r="A28" s="103"/>
      <c r="B28" s="84">
        <v>2</v>
      </c>
      <c r="C28" s="85" t="s">
        <v>54</v>
      </c>
      <c r="D28" s="86">
        <v>5998.3</v>
      </c>
      <c r="E28" s="87">
        <v>17508.099999999999</v>
      </c>
      <c r="F28" s="86">
        <f t="shared" si="0"/>
        <v>2918.8436723738391</v>
      </c>
    </row>
    <row r="29" spans="1:7" ht="14" thickBot="1" x14ac:dyDescent="0.2">
      <c r="A29" s="103"/>
      <c r="B29" s="84">
        <v>3</v>
      </c>
      <c r="C29" s="85" t="s">
        <v>124</v>
      </c>
      <c r="D29" s="86">
        <v>279</v>
      </c>
      <c r="E29" s="87">
        <v>821.6</v>
      </c>
      <c r="F29" s="86">
        <f t="shared" si="0"/>
        <v>2944.8028673835124</v>
      </c>
      <c r="G29" t="s">
        <v>107</v>
      </c>
    </row>
    <row r="30" spans="1:7" ht="14" thickBot="1" x14ac:dyDescent="0.2">
      <c r="A30" s="103"/>
      <c r="B30" s="84">
        <v>4</v>
      </c>
      <c r="C30" s="85" t="s">
        <v>55</v>
      </c>
      <c r="D30" s="86">
        <v>108</v>
      </c>
      <c r="E30" s="87">
        <v>316.7</v>
      </c>
      <c r="F30" s="86">
        <f t="shared" si="0"/>
        <v>2932.4074074074074</v>
      </c>
      <c r="G30" t="s">
        <v>107</v>
      </c>
    </row>
    <row r="31" spans="1:7" ht="14" thickBot="1" x14ac:dyDescent="0.2">
      <c r="A31" s="103"/>
      <c r="B31" s="84">
        <v>5</v>
      </c>
      <c r="C31" s="85" t="s">
        <v>125</v>
      </c>
      <c r="D31" s="86">
        <v>36</v>
      </c>
      <c r="E31" s="87">
        <v>105.7</v>
      </c>
      <c r="F31" s="86">
        <f t="shared" si="0"/>
        <v>2936.1111111111113</v>
      </c>
    </row>
    <row r="32" spans="1:7" ht="14" thickBot="1" x14ac:dyDescent="0.2">
      <c r="A32" s="104"/>
      <c r="B32" s="88">
        <v>6</v>
      </c>
      <c r="C32" s="89" t="s">
        <v>56</v>
      </c>
      <c r="D32" s="90">
        <v>18</v>
      </c>
      <c r="E32" s="91">
        <v>44.4</v>
      </c>
      <c r="F32" s="90">
        <f t="shared" si="0"/>
        <v>2466.6666666666665</v>
      </c>
    </row>
    <row r="33" spans="1:7" ht="14" thickBot="1" x14ac:dyDescent="0.2">
      <c r="A33" s="80">
        <v>4</v>
      </c>
      <c r="B33" s="81" t="s">
        <v>59</v>
      </c>
      <c r="C33" s="81"/>
      <c r="D33" s="82">
        <v>14193.1</v>
      </c>
      <c r="E33" s="83">
        <v>50903.7</v>
      </c>
      <c r="F33" s="82">
        <f t="shared" si="0"/>
        <v>3586.5103465768575</v>
      </c>
    </row>
    <row r="34" spans="1:7" ht="14" thickBot="1" x14ac:dyDescent="0.2">
      <c r="A34" s="103"/>
      <c r="B34" s="84">
        <v>1</v>
      </c>
      <c r="C34" s="85" t="s">
        <v>60</v>
      </c>
      <c r="D34" s="86">
        <v>11509</v>
      </c>
      <c r="E34" s="87">
        <v>40823.199999999997</v>
      </c>
      <c r="F34" s="86">
        <f t="shared" si="0"/>
        <v>3547.0675123816145</v>
      </c>
    </row>
    <row r="35" spans="1:7" ht="14" thickBot="1" x14ac:dyDescent="0.2">
      <c r="A35" s="103"/>
      <c r="B35" s="84">
        <v>2</v>
      </c>
      <c r="C35" s="85" t="s">
        <v>61</v>
      </c>
      <c r="D35" s="86">
        <v>1698</v>
      </c>
      <c r="E35" s="87">
        <v>6536.3</v>
      </c>
      <c r="F35" s="86">
        <f t="shared" si="0"/>
        <v>3849.4110718492343</v>
      </c>
    </row>
    <row r="36" spans="1:7" ht="14" thickBot="1" x14ac:dyDescent="0.2">
      <c r="A36" s="103"/>
      <c r="B36" s="84">
        <v>3</v>
      </c>
      <c r="C36" s="85" t="s">
        <v>62</v>
      </c>
      <c r="D36" s="86">
        <v>576</v>
      </c>
      <c r="E36" s="87">
        <v>1825.2</v>
      </c>
      <c r="F36" s="86">
        <f t="shared" si="0"/>
        <v>3168.75</v>
      </c>
    </row>
    <row r="37" spans="1:7" ht="14" thickBot="1" x14ac:dyDescent="0.2">
      <c r="A37" s="103"/>
      <c r="B37" s="84">
        <v>4</v>
      </c>
      <c r="C37" s="85" t="s">
        <v>126</v>
      </c>
      <c r="D37" s="86">
        <v>283.5</v>
      </c>
      <c r="E37" s="87">
        <v>1140.2</v>
      </c>
      <c r="F37" s="86">
        <f t="shared" si="0"/>
        <v>4021.8694885361551</v>
      </c>
    </row>
    <row r="38" spans="1:7" ht="14" thickBot="1" x14ac:dyDescent="0.2">
      <c r="A38" s="103"/>
      <c r="B38" s="84">
        <v>5</v>
      </c>
      <c r="C38" s="85" t="s">
        <v>127</v>
      </c>
      <c r="D38" s="86">
        <v>90</v>
      </c>
      <c r="E38" s="87">
        <v>437.8</v>
      </c>
      <c r="F38" s="86">
        <f t="shared" si="0"/>
        <v>4864.4444444444443</v>
      </c>
    </row>
    <row r="39" spans="1:7" ht="14" thickBot="1" x14ac:dyDescent="0.2">
      <c r="A39" s="104"/>
      <c r="B39" s="88">
        <v>6</v>
      </c>
      <c r="C39" s="89" t="s">
        <v>64</v>
      </c>
      <c r="D39" s="90">
        <v>36.6</v>
      </c>
      <c r="E39" s="91">
        <v>140.9</v>
      </c>
      <c r="F39" s="90">
        <f t="shared" si="0"/>
        <v>3849.7267759562842</v>
      </c>
    </row>
    <row r="40" spans="1:7" ht="14" thickBot="1" x14ac:dyDescent="0.2">
      <c r="A40" s="80">
        <v>5</v>
      </c>
      <c r="B40" s="81" t="s">
        <v>67</v>
      </c>
      <c r="C40" s="81"/>
      <c r="D40" s="82">
        <v>6361.5</v>
      </c>
      <c r="E40" s="83">
        <v>28528</v>
      </c>
      <c r="F40" s="82">
        <f t="shared" si="0"/>
        <v>4484.4769315413032</v>
      </c>
    </row>
    <row r="41" spans="1:7" ht="14" thickBot="1" x14ac:dyDescent="0.2">
      <c r="A41" s="103"/>
      <c r="B41" s="84">
        <v>1</v>
      </c>
      <c r="C41" s="85" t="s">
        <v>68</v>
      </c>
      <c r="D41" s="86">
        <v>4608.5</v>
      </c>
      <c r="E41" s="87">
        <v>21938.6</v>
      </c>
      <c r="F41" s="86">
        <f t="shared" si="0"/>
        <v>4760.4643593360097</v>
      </c>
      <c r="G41" t="s">
        <v>107</v>
      </c>
    </row>
    <row r="42" spans="1:7" ht="14" thickBot="1" x14ac:dyDescent="0.2">
      <c r="A42" s="103"/>
      <c r="B42" s="84">
        <v>2</v>
      </c>
      <c r="C42" s="85" t="s">
        <v>128</v>
      </c>
      <c r="D42" s="86">
        <v>467.4</v>
      </c>
      <c r="E42" s="87">
        <v>1952</v>
      </c>
      <c r="F42" s="86">
        <f t="shared" si="0"/>
        <v>4176.2943945228926</v>
      </c>
      <c r="G42" t="s">
        <v>107</v>
      </c>
    </row>
    <row r="43" spans="1:7" ht="14" thickBot="1" x14ac:dyDescent="0.2">
      <c r="A43" s="103"/>
      <c r="B43" s="84">
        <v>3</v>
      </c>
      <c r="C43" s="85" t="s">
        <v>69</v>
      </c>
      <c r="D43" s="86">
        <v>402</v>
      </c>
      <c r="E43" s="87">
        <v>1181.5</v>
      </c>
      <c r="F43" s="86">
        <f t="shared" si="0"/>
        <v>2939.0547263681592</v>
      </c>
      <c r="G43" t="s">
        <v>107</v>
      </c>
    </row>
    <row r="44" spans="1:7" ht="14" thickBot="1" x14ac:dyDescent="0.2">
      <c r="A44" s="103"/>
      <c r="B44" s="84">
        <v>4</v>
      </c>
      <c r="C44" s="85" t="s">
        <v>70</v>
      </c>
      <c r="D44" s="86">
        <v>222.6</v>
      </c>
      <c r="E44" s="87">
        <v>1027.2</v>
      </c>
      <c r="F44" s="86">
        <f t="shared" si="0"/>
        <v>4614.5552560646902</v>
      </c>
      <c r="G44" t="s">
        <v>107</v>
      </c>
    </row>
    <row r="45" spans="1:7" ht="14" thickBot="1" x14ac:dyDescent="0.2">
      <c r="A45" s="103"/>
      <c r="B45" s="84">
        <v>5</v>
      </c>
      <c r="C45" s="85" t="s">
        <v>67</v>
      </c>
      <c r="D45" s="86">
        <v>162</v>
      </c>
      <c r="E45" s="87">
        <v>626.70000000000005</v>
      </c>
      <c r="F45" s="86">
        <f t="shared" si="0"/>
        <v>3868.5185185185187</v>
      </c>
      <c r="G45" t="s">
        <v>107</v>
      </c>
    </row>
    <row r="46" spans="1:7" ht="14" thickBot="1" x14ac:dyDescent="0.2">
      <c r="A46" s="103"/>
      <c r="B46" s="84">
        <v>6</v>
      </c>
      <c r="C46" s="85" t="s">
        <v>71</v>
      </c>
      <c r="D46" s="86">
        <v>125.8</v>
      </c>
      <c r="E46" s="87">
        <v>411.6</v>
      </c>
      <c r="F46" s="86">
        <f t="shared" si="0"/>
        <v>3271.860095389507</v>
      </c>
    </row>
    <row r="47" spans="1:7" ht="14" thickBot="1" x14ac:dyDescent="0.2">
      <c r="A47" s="103"/>
      <c r="B47" s="84">
        <v>7</v>
      </c>
      <c r="C47" s="85" t="s">
        <v>72</v>
      </c>
      <c r="D47" s="86">
        <v>120</v>
      </c>
      <c r="E47" s="87">
        <v>499.6</v>
      </c>
      <c r="F47" s="86">
        <f t="shared" si="0"/>
        <v>4163.333333333333</v>
      </c>
    </row>
    <row r="48" spans="1:7" ht="14" thickBot="1" x14ac:dyDescent="0.2">
      <c r="A48" s="103"/>
      <c r="B48" s="84">
        <v>8</v>
      </c>
      <c r="C48" s="85" t="s">
        <v>73</v>
      </c>
      <c r="D48" s="86">
        <v>108</v>
      </c>
      <c r="E48" s="87">
        <v>289.5</v>
      </c>
      <c r="F48" s="86">
        <f t="shared" si="0"/>
        <v>2680.5555555555557</v>
      </c>
      <c r="G48" t="s">
        <v>107</v>
      </c>
    </row>
    <row r="49" spans="1:7" ht="14" thickBot="1" x14ac:dyDescent="0.2">
      <c r="A49" s="103"/>
      <c r="B49" s="84">
        <v>9</v>
      </c>
      <c r="C49" s="85" t="s">
        <v>129</v>
      </c>
      <c r="D49" s="86">
        <v>54</v>
      </c>
      <c r="E49" s="87">
        <v>223.8</v>
      </c>
      <c r="F49" s="86">
        <f t="shared" si="0"/>
        <v>4144.4444444444443</v>
      </c>
      <c r="G49" t="s">
        <v>107</v>
      </c>
    </row>
    <row r="50" spans="1:7" ht="14" thickBot="1" x14ac:dyDescent="0.2">
      <c r="A50" s="103"/>
      <c r="B50" s="84">
        <v>10</v>
      </c>
      <c r="C50" s="85" t="s">
        <v>130</v>
      </c>
      <c r="D50" s="86">
        <v>36</v>
      </c>
      <c r="E50" s="87">
        <v>166.9</v>
      </c>
      <c r="F50" s="86">
        <f t="shared" si="0"/>
        <v>4636.1111111111113</v>
      </c>
      <c r="G50" t="s">
        <v>107</v>
      </c>
    </row>
    <row r="51" spans="1:7" ht="14" thickBot="1" x14ac:dyDescent="0.2">
      <c r="A51" s="103"/>
      <c r="B51" s="84">
        <v>11</v>
      </c>
      <c r="C51" s="85" t="s">
        <v>131</v>
      </c>
      <c r="D51" s="86">
        <v>18.600000000000001</v>
      </c>
      <c r="E51" s="87">
        <v>59.5</v>
      </c>
      <c r="F51" s="86">
        <f t="shared" si="0"/>
        <v>3198.9247311827953</v>
      </c>
    </row>
    <row r="52" spans="1:7" ht="14" thickBot="1" x14ac:dyDescent="0.2">
      <c r="A52" s="103"/>
      <c r="B52" s="84">
        <v>12</v>
      </c>
      <c r="C52" s="85" t="s">
        <v>132</v>
      </c>
      <c r="D52" s="86">
        <v>18.600000000000001</v>
      </c>
      <c r="E52" s="87">
        <v>59.9</v>
      </c>
      <c r="F52" s="86">
        <f t="shared" si="0"/>
        <v>3220.4301075268813</v>
      </c>
    </row>
    <row r="53" spans="1:7" ht="14" thickBot="1" x14ac:dyDescent="0.2">
      <c r="A53" s="104"/>
      <c r="B53" s="88">
        <v>13</v>
      </c>
      <c r="C53" s="89" t="s">
        <v>133</v>
      </c>
      <c r="D53" s="90">
        <v>18</v>
      </c>
      <c r="E53" s="91">
        <v>91.3</v>
      </c>
      <c r="F53" s="90">
        <f t="shared" si="0"/>
        <v>5072.2222222222226</v>
      </c>
    </row>
    <row r="54" spans="1:7" ht="14" thickBot="1" x14ac:dyDescent="0.2">
      <c r="A54" s="80">
        <v>6</v>
      </c>
      <c r="B54" s="81" t="s">
        <v>74</v>
      </c>
      <c r="C54" s="81"/>
      <c r="D54" s="82">
        <v>5278.2</v>
      </c>
      <c r="E54" s="83">
        <v>16668.5</v>
      </c>
      <c r="F54" s="82">
        <f t="shared" si="0"/>
        <v>3157.9894661058697</v>
      </c>
    </row>
    <row r="55" spans="1:7" ht="14" thickBot="1" x14ac:dyDescent="0.2">
      <c r="A55" s="103"/>
      <c r="B55" s="84">
        <v>1</v>
      </c>
      <c r="C55" s="85" t="s">
        <v>75</v>
      </c>
      <c r="D55" s="86">
        <v>4453.8</v>
      </c>
      <c r="E55" s="87">
        <v>14547.6</v>
      </c>
      <c r="F55" s="86">
        <f t="shared" si="0"/>
        <v>3266.3343661592348</v>
      </c>
      <c r="G55" t="s">
        <v>107</v>
      </c>
    </row>
    <row r="56" spans="1:7" ht="14" thickBot="1" x14ac:dyDescent="0.2">
      <c r="A56" s="103"/>
      <c r="B56" s="84">
        <v>2</v>
      </c>
      <c r="C56" s="85" t="s">
        <v>76</v>
      </c>
      <c r="D56" s="86">
        <v>450</v>
      </c>
      <c r="E56" s="87">
        <v>1116.4000000000001</v>
      </c>
      <c r="F56" s="86">
        <f t="shared" si="0"/>
        <v>2480.8888888888887</v>
      </c>
    </row>
    <row r="57" spans="1:7" ht="14" thickBot="1" x14ac:dyDescent="0.2">
      <c r="A57" s="103"/>
      <c r="B57" s="84">
        <v>3</v>
      </c>
      <c r="C57" s="85" t="s">
        <v>77</v>
      </c>
      <c r="D57" s="86">
        <v>252</v>
      </c>
      <c r="E57" s="87">
        <v>570.5</v>
      </c>
      <c r="F57" s="86">
        <f t="shared" si="0"/>
        <v>2263.8888888888887</v>
      </c>
      <c r="G57" t="s">
        <v>107</v>
      </c>
    </row>
    <row r="58" spans="1:7" ht="14" thickBot="1" x14ac:dyDescent="0.2">
      <c r="A58" s="103"/>
      <c r="B58" s="84">
        <v>4</v>
      </c>
      <c r="C58" s="85" t="s">
        <v>134</v>
      </c>
      <c r="D58" s="86">
        <v>71.400000000000006</v>
      </c>
      <c r="E58" s="87">
        <v>246</v>
      </c>
      <c r="F58" s="86">
        <f t="shared" si="0"/>
        <v>3445.3781512605037</v>
      </c>
      <c r="G58" t="s">
        <v>107</v>
      </c>
    </row>
    <row r="59" spans="1:7" ht="14" thickBot="1" x14ac:dyDescent="0.2">
      <c r="A59" s="103"/>
      <c r="B59" s="84">
        <v>5</v>
      </c>
      <c r="C59" s="85" t="s">
        <v>79</v>
      </c>
      <c r="D59" s="86">
        <v>33</v>
      </c>
      <c r="E59" s="87">
        <v>135</v>
      </c>
      <c r="F59" s="86">
        <f t="shared" si="0"/>
        <v>4090.909090909091</v>
      </c>
    </row>
    <row r="60" spans="1:7" ht="14" thickBot="1" x14ac:dyDescent="0.2">
      <c r="A60" s="104"/>
      <c r="B60" s="88">
        <v>6</v>
      </c>
      <c r="C60" s="89" t="s">
        <v>135</v>
      </c>
      <c r="D60" s="90">
        <v>18</v>
      </c>
      <c r="E60" s="91">
        <v>53.1</v>
      </c>
      <c r="F60" s="90">
        <f t="shared" si="0"/>
        <v>2950</v>
      </c>
    </row>
    <row r="61" spans="1:7" ht="14" thickBot="1" x14ac:dyDescent="0.2">
      <c r="A61" s="80">
        <v>7</v>
      </c>
      <c r="B61" s="81" t="s">
        <v>80</v>
      </c>
      <c r="C61" s="81"/>
      <c r="D61" s="82">
        <v>1840.8</v>
      </c>
      <c r="E61" s="83">
        <v>5326.3</v>
      </c>
      <c r="F61" s="82">
        <f t="shared" si="0"/>
        <v>2893.4702303346371</v>
      </c>
    </row>
    <row r="62" spans="1:7" ht="14" thickBot="1" x14ac:dyDescent="0.2">
      <c r="A62" s="104"/>
      <c r="B62" s="93"/>
      <c r="C62" s="89" t="s">
        <v>81</v>
      </c>
      <c r="D62" s="90">
        <v>1840.8</v>
      </c>
      <c r="E62" s="91">
        <v>5326.3</v>
      </c>
      <c r="F62" s="90">
        <f t="shared" si="0"/>
        <v>2893.4702303346371</v>
      </c>
      <c r="G62" t="s">
        <v>107</v>
      </c>
    </row>
    <row r="63" spans="1:7" ht="14" thickBot="1" x14ac:dyDescent="0.2">
      <c r="A63" s="80">
        <v>8</v>
      </c>
      <c r="B63" s="81" t="s">
        <v>83</v>
      </c>
      <c r="C63" s="81"/>
      <c r="D63" s="82">
        <v>1170</v>
      </c>
      <c r="E63" s="83">
        <v>3356.4</v>
      </c>
      <c r="F63" s="82">
        <f t="shared" si="0"/>
        <v>2868.7179487179487</v>
      </c>
    </row>
    <row r="64" spans="1:7" ht="14" thickBot="1" x14ac:dyDescent="0.2">
      <c r="A64" s="103"/>
      <c r="B64" s="94"/>
      <c r="C64" s="85" t="s">
        <v>84</v>
      </c>
      <c r="D64" s="86">
        <v>144</v>
      </c>
      <c r="E64" s="87">
        <v>409.2</v>
      </c>
      <c r="F64" s="86">
        <f t="shared" si="0"/>
        <v>2841.6666666666665</v>
      </c>
    </row>
    <row r="65" spans="1:7" ht="14" thickBot="1" x14ac:dyDescent="0.2">
      <c r="A65" s="104"/>
      <c r="B65" s="93"/>
      <c r="C65" s="89" t="s">
        <v>85</v>
      </c>
      <c r="D65" s="90">
        <v>1026</v>
      </c>
      <c r="E65" s="91">
        <v>2947.1</v>
      </c>
      <c r="F65" s="90">
        <f t="shared" si="0"/>
        <v>2872.4171539961012</v>
      </c>
    </row>
    <row r="66" spans="1:7" ht="14" thickBot="1" x14ac:dyDescent="0.2">
      <c r="A66" s="80">
        <v>9</v>
      </c>
      <c r="B66" s="81" t="s">
        <v>136</v>
      </c>
      <c r="C66" s="81"/>
      <c r="D66" s="82">
        <v>1388.4</v>
      </c>
      <c r="E66" s="83">
        <v>4691.6000000000004</v>
      </c>
      <c r="F66" s="82">
        <f t="shared" si="0"/>
        <v>3379.1414577931428</v>
      </c>
    </row>
    <row r="67" spans="1:7" ht="14" thickBot="1" x14ac:dyDescent="0.2">
      <c r="A67" s="103"/>
      <c r="B67" s="84">
        <v>1</v>
      </c>
      <c r="C67" s="85" t="s">
        <v>137</v>
      </c>
      <c r="D67" s="86">
        <v>1121.0999999999999</v>
      </c>
      <c r="E67" s="87">
        <v>3954.3</v>
      </c>
      <c r="F67" s="86">
        <f t="shared" si="0"/>
        <v>3527.1608241905274</v>
      </c>
      <c r="G67" t="s">
        <v>107</v>
      </c>
    </row>
    <row r="68" spans="1:7" ht="14" thickBot="1" x14ac:dyDescent="0.2">
      <c r="A68" s="103"/>
      <c r="B68" s="84">
        <v>2</v>
      </c>
      <c r="C68" s="85" t="s">
        <v>138</v>
      </c>
      <c r="D68" s="86">
        <v>87.3</v>
      </c>
      <c r="E68" s="87">
        <v>260.89999999999998</v>
      </c>
      <c r="F68" s="86">
        <f t="shared" si="0"/>
        <v>2988.545246277205</v>
      </c>
    </row>
    <row r="69" spans="1:7" ht="14" thickBot="1" x14ac:dyDescent="0.2">
      <c r="A69" s="104"/>
      <c r="B69" s="88">
        <v>3</v>
      </c>
      <c r="C69" s="89" t="s">
        <v>139</v>
      </c>
      <c r="D69" s="90">
        <v>180</v>
      </c>
      <c r="E69" s="91">
        <v>476.5</v>
      </c>
      <c r="F69" s="90">
        <f t="shared" si="0"/>
        <v>2647.2222222222222</v>
      </c>
    </row>
    <row r="70" spans="1:7" ht="14" thickBot="1" x14ac:dyDescent="0.2">
      <c r="A70" s="95">
        <v>10</v>
      </c>
      <c r="B70" s="96" t="s">
        <v>86</v>
      </c>
      <c r="C70" s="96"/>
      <c r="D70" s="97">
        <v>456.8</v>
      </c>
      <c r="E70" s="98">
        <v>2256.8000000000002</v>
      </c>
      <c r="F70" s="97">
        <f t="shared" si="0"/>
        <v>4940.4553415061291</v>
      </c>
    </row>
    <row r="71" spans="1:7" ht="14" thickBot="1" x14ac:dyDescent="0.2">
      <c r="A71" s="103"/>
      <c r="B71" s="84">
        <v>1</v>
      </c>
      <c r="C71" s="85" t="s">
        <v>87</v>
      </c>
      <c r="D71" s="86">
        <v>403.2</v>
      </c>
      <c r="E71" s="87">
        <v>2081.3000000000002</v>
      </c>
      <c r="F71" s="86">
        <f t="shared" si="0"/>
        <v>5161.9543650793657</v>
      </c>
      <c r="G71" t="s">
        <v>107</v>
      </c>
    </row>
    <row r="72" spans="1:7" ht="14" thickBot="1" x14ac:dyDescent="0.2">
      <c r="A72" s="104"/>
      <c r="B72" s="88">
        <v>2</v>
      </c>
      <c r="C72" s="89" t="s">
        <v>88</v>
      </c>
      <c r="D72" s="90">
        <v>53.6</v>
      </c>
      <c r="E72" s="91">
        <v>175.5</v>
      </c>
      <c r="F72" s="90">
        <f t="shared" ref="F72:F104" si="1">E72*1000/D72</f>
        <v>3274.2537313432836</v>
      </c>
    </row>
    <row r="73" spans="1:7" ht="14" thickBot="1" x14ac:dyDescent="0.2">
      <c r="A73" s="99">
        <v>11</v>
      </c>
      <c r="B73" s="100" t="s">
        <v>89</v>
      </c>
      <c r="C73" s="81"/>
      <c r="D73" s="101">
        <v>252</v>
      </c>
      <c r="E73" s="102">
        <v>882.4</v>
      </c>
      <c r="F73" s="101">
        <f t="shared" si="1"/>
        <v>3501.5873015873017</v>
      </c>
    </row>
    <row r="74" spans="1:7" ht="14" thickBot="1" x14ac:dyDescent="0.2">
      <c r="A74" s="104"/>
      <c r="B74" s="93"/>
      <c r="C74" s="89" t="s">
        <v>90</v>
      </c>
      <c r="D74" s="90">
        <v>252</v>
      </c>
      <c r="E74" s="91">
        <v>882.4</v>
      </c>
      <c r="F74" s="90">
        <f t="shared" si="1"/>
        <v>3501.5873015873017</v>
      </c>
      <c r="G74" t="s">
        <v>107</v>
      </c>
    </row>
    <row r="75" spans="1:7" ht="14" thickBot="1" x14ac:dyDescent="0.2">
      <c r="A75" s="80">
        <v>12</v>
      </c>
      <c r="B75" s="81" t="s">
        <v>93</v>
      </c>
      <c r="C75" s="81"/>
      <c r="D75" s="82">
        <v>576</v>
      </c>
      <c r="E75" s="83">
        <v>1611.9</v>
      </c>
      <c r="F75" s="82">
        <f t="shared" si="1"/>
        <v>2798.4375</v>
      </c>
    </row>
    <row r="76" spans="1:7" ht="14" thickBot="1" x14ac:dyDescent="0.2">
      <c r="A76" s="103"/>
      <c r="B76" s="84">
        <v>1</v>
      </c>
      <c r="C76" s="85" t="s">
        <v>94</v>
      </c>
      <c r="D76" s="86">
        <v>540</v>
      </c>
      <c r="E76" s="87">
        <v>1519</v>
      </c>
      <c r="F76" s="86">
        <f t="shared" si="1"/>
        <v>2812.962962962963</v>
      </c>
      <c r="G76" t="s">
        <v>107</v>
      </c>
    </row>
    <row r="77" spans="1:7" ht="14" thickBot="1" x14ac:dyDescent="0.2">
      <c r="A77" s="104"/>
      <c r="B77" s="88">
        <v>2</v>
      </c>
      <c r="C77" s="89" t="s">
        <v>95</v>
      </c>
      <c r="D77" s="90">
        <v>36</v>
      </c>
      <c r="E77" s="91">
        <v>92.8</v>
      </c>
      <c r="F77" s="90">
        <f t="shared" si="1"/>
        <v>2577.7777777777778</v>
      </c>
    </row>
    <row r="78" spans="1:7" ht="14" thickBot="1" x14ac:dyDescent="0.2">
      <c r="A78" s="80">
        <v>13</v>
      </c>
      <c r="B78" s="81" t="s">
        <v>140</v>
      </c>
      <c r="C78" s="81"/>
      <c r="D78" s="82">
        <v>312</v>
      </c>
      <c r="E78" s="83">
        <v>1015.2</v>
      </c>
      <c r="F78" s="82">
        <f t="shared" si="1"/>
        <v>3253.8461538461538</v>
      </c>
    </row>
    <row r="79" spans="1:7" ht="14" thickBot="1" x14ac:dyDescent="0.2">
      <c r="A79" s="104"/>
      <c r="B79" s="93"/>
      <c r="C79" s="89" t="s">
        <v>141</v>
      </c>
      <c r="D79" s="90">
        <v>312</v>
      </c>
      <c r="E79" s="91">
        <v>1015.2</v>
      </c>
      <c r="F79" s="90">
        <f t="shared" si="1"/>
        <v>3253.8461538461538</v>
      </c>
    </row>
    <row r="80" spans="1:7" ht="14" thickBot="1" x14ac:dyDescent="0.2">
      <c r="A80" s="80">
        <v>14</v>
      </c>
      <c r="B80" s="81" t="s">
        <v>142</v>
      </c>
      <c r="C80" s="81"/>
      <c r="D80" s="82">
        <v>126</v>
      </c>
      <c r="E80" s="83">
        <v>418.2</v>
      </c>
      <c r="F80" s="82">
        <f t="shared" si="1"/>
        <v>3319.0476190476193</v>
      </c>
    </row>
    <row r="81" spans="1:7" ht="14" thickBot="1" x14ac:dyDescent="0.2">
      <c r="A81" s="103"/>
      <c r="B81" s="94"/>
      <c r="C81" s="85" t="s">
        <v>143</v>
      </c>
      <c r="D81" s="86">
        <v>18</v>
      </c>
      <c r="E81" s="87">
        <v>64.099999999999994</v>
      </c>
      <c r="F81" s="86">
        <f t="shared" si="1"/>
        <v>3561.1111111111109</v>
      </c>
      <c r="G81" t="s">
        <v>107</v>
      </c>
    </row>
    <row r="82" spans="1:7" ht="14" thickBot="1" x14ac:dyDescent="0.2">
      <c r="A82" s="104"/>
      <c r="B82" s="93"/>
      <c r="C82" s="89" t="s">
        <v>144</v>
      </c>
      <c r="D82" s="90">
        <v>108</v>
      </c>
      <c r="E82" s="91">
        <v>354.1</v>
      </c>
      <c r="F82" s="90">
        <f t="shared" si="1"/>
        <v>3278.7037037037039</v>
      </c>
      <c r="G82" t="s">
        <v>107</v>
      </c>
    </row>
    <row r="83" spans="1:7" ht="14" thickBot="1" x14ac:dyDescent="0.2">
      <c r="A83" s="80">
        <v>15</v>
      </c>
      <c r="B83" s="81" t="s">
        <v>145</v>
      </c>
      <c r="C83" s="81"/>
      <c r="D83" s="82">
        <v>110.4</v>
      </c>
      <c r="E83" s="83">
        <v>356</v>
      </c>
      <c r="F83" s="82">
        <f t="shared" si="1"/>
        <v>3224.63768115942</v>
      </c>
    </row>
    <row r="84" spans="1:7" ht="14" thickBot="1" x14ac:dyDescent="0.2">
      <c r="A84" s="104"/>
      <c r="B84" s="93"/>
      <c r="C84" s="89" t="s">
        <v>97</v>
      </c>
      <c r="D84" s="90">
        <v>110.4</v>
      </c>
      <c r="E84" s="91">
        <v>356</v>
      </c>
      <c r="F84" s="90">
        <f t="shared" si="1"/>
        <v>3224.63768115942</v>
      </c>
      <c r="G84" t="s">
        <v>107</v>
      </c>
    </row>
    <row r="85" spans="1:7" ht="14" thickBot="1" x14ac:dyDescent="0.2">
      <c r="A85" s="80">
        <v>16</v>
      </c>
      <c r="B85" s="81" t="s">
        <v>98</v>
      </c>
      <c r="C85" s="81"/>
      <c r="D85" s="82">
        <v>86.7</v>
      </c>
      <c r="E85" s="83">
        <v>244.5</v>
      </c>
      <c r="F85" s="82">
        <f t="shared" si="1"/>
        <v>2820.0692041522489</v>
      </c>
    </row>
    <row r="86" spans="1:7" ht="14" thickBot="1" x14ac:dyDescent="0.2">
      <c r="A86" s="103"/>
      <c r="B86" s="84">
        <v>1</v>
      </c>
      <c r="C86" s="85" t="s">
        <v>99</v>
      </c>
      <c r="D86" s="86">
        <v>18</v>
      </c>
      <c r="E86" s="87">
        <v>71.8</v>
      </c>
      <c r="F86" s="86">
        <f t="shared" si="1"/>
        <v>3988.8888888888887</v>
      </c>
      <c r="G86" t="s">
        <v>107</v>
      </c>
    </row>
    <row r="87" spans="1:7" ht="14" thickBot="1" x14ac:dyDescent="0.2">
      <c r="A87" s="103"/>
      <c r="B87" s="84">
        <v>2</v>
      </c>
      <c r="C87" s="85" t="s">
        <v>101</v>
      </c>
      <c r="D87" s="86">
        <v>54</v>
      </c>
      <c r="E87" s="87">
        <v>133.5</v>
      </c>
      <c r="F87" s="86">
        <f t="shared" si="1"/>
        <v>2472.2222222222222</v>
      </c>
    </row>
    <row r="88" spans="1:7" ht="14" thickBot="1" x14ac:dyDescent="0.2">
      <c r="A88" s="104"/>
      <c r="B88" s="88">
        <v>3</v>
      </c>
      <c r="C88" s="89" t="s">
        <v>102</v>
      </c>
      <c r="D88" s="90">
        <v>14.7</v>
      </c>
      <c r="E88" s="91">
        <v>39.200000000000003</v>
      </c>
      <c r="F88" s="90">
        <f t="shared" si="1"/>
        <v>2666.666666666667</v>
      </c>
    </row>
    <row r="89" spans="1:7" ht="14" thickBot="1" x14ac:dyDescent="0.2">
      <c r="A89" s="80">
        <v>17</v>
      </c>
      <c r="B89" s="81" t="s">
        <v>146</v>
      </c>
      <c r="C89" s="81"/>
      <c r="D89" s="82">
        <v>55.7</v>
      </c>
      <c r="E89" s="83">
        <v>208.5</v>
      </c>
      <c r="F89" s="82">
        <f t="shared" si="1"/>
        <v>3743.2675044883304</v>
      </c>
    </row>
    <row r="90" spans="1:7" ht="14" thickBot="1" x14ac:dyDescent="0.2">
      <c r="A90" s="103"/>
      <c r="B90" s="94"/>
      <c r="C90" s="85" t="s">
        <v>147</v>
      </c>
      <c r="D90" s="86">
        <v>37.700000000000003</v>
      </c>
      <c r="E90" s="87">
        <v>139.19999999999999</v>
      </c>
      <c r="F90" s="86">
        <f t="shared" si="1"/>
        <v>3692.3076923076919</v>
      </c>
    </row>
    <row r="91" spans="1:7" ht="14" thickBot="1" x14ac:dyDescent="0.2">
      <c r="A91" s="104"/>
      <c r="B91" s="93"/>
      <c r="C91" s="89" t="s">
        <v>148</v>
      </c>
      <c r="D91" s="90">
        <v>18</v>
      </c>
      <c r="E91" s="91">
        <v>69.3</v>
      </c>
      <c r="F91" s="90">
        <f t="shared" si="1"/>
        <v>3850</v>
      </c>
      <c r="G91" t="s">
        <v>107</v>
      </c>
    </row>
    <row r="92" spans="1:7" ht="14" thickBot="1" x14ac:dyDescent="0.2">
      <c r="A92" s="80">
        <v>18</v>
      </c>
      <c r="B92" s="81" t="s">
        <v>149</v>
      </c>
      <c r="C92" s="81"/>
      <c r="D92" s="82">
        <v>72</v>
      </c>
      <c r="E92" s="83">
        <v>231.7</v>
      </c>
      <c r="F92" s="82">
        <f t="shared" si="1"/>
        <v>3218.0555555555557</v>
      </c>
    </row>
    <row r="93" spans="1:7" ht="14" thickBot="1" x14ac:dyDescent="0.2">
      <c r="A93" s="104"/>
      <c r="B93" s="93"/>
      <c r="C93" s="89" t="s">
        <v>150</v>
      </c>
      <c r="D93" s="90">
        <v>72</v>
      </c>
      <c r="E93" s="91">
        <v>231.7</v>
      </c>
      <c r="F93" s="90">
        <f t="shared" si="1"/>
        <v>3218.0555555555557</v>
      </c>
    </row>
    <row r="94" spans="1:7" ht="14" thickBot="1" x14ac:dyDescent="0.2">
      <c r="A94" s="80">
        <v>19</v>
      </c>
      <c r="B94" s="81" t="s">
        <v>151</v>
      </c>
      <c r="C94" s="81"/>
      <c r="D94" s="82">
        <v>35.299999999999997</v>
      </c>
      <c r="E94" s="83">
        <v>85</v>
      </c>
      <c r="F94" s="82">
        <f t="shared" si="1"/>
        <v>2407.9320113314448</v>
      </c>
    </row>
    <row r="95" spans="1:7" ht="14" thickBot="1" x14ac:dyDescent="0.2">
      <c r="A95" s="103"/>
      <c r="B95" s="84">
        <v>1</v>
      </c>
      <c r="C95" s="85" t="s">
        <v>152</v>
      </c>
      <c r="D95" s="86">
        <v>18</v>
      </c>
      <c r="E95" s="87">
        <v>44</v>
      </c>
      <c r="F95" s="86">
        <f t="shared" si="1"/>
        <v>2444.4444444444443</v>
      </c>
    </row>
    <row r="96" spans="1:7" ht="14" thickBot="1" x14ac:dyDescent="0.2">
      <c r="A96" s="103"/>
      <c r="B96" s="84">
        <v>2</v>
      </c>
      <c r="C96" s="85" t="s">
        <v>153</v>
      </c>
      <c r="D96" s="86">
        <v>17.100000000000001</v>
      </c>
      <c r="E96" s="87">
        <v>39.6</v>
      </c>
      <c r="F96" s="86">
        <f t="shared" si="1"/>
        <v>2315.7894736842104</v>
      </c>
    </row>
    <row r="97" spans="1:7" ht="14" thickBot="1" x14ac:dyDescent="0.2">
      <c r="A97" s="104"/>
      <c r="B97" s="88">
        <v>3</v>
      </c>
      <c r="C97" s="89" t="s">
        <v>154</v>
      </c>
      <c r="D97" s="90">
        <v>0.2</v>
      </c>
      <c r="E97" s="91">
        <v>1.4</v>
      </c>
      <c r="F97" s="90">
        <f t="shared" si="1"/>
        <v>7000</v>
      </c>
    </row>
    <row r="98" spans="1:7" ht="14" thickBot="1" x14ac:dyDescent="0.2">
      <c r="A98" s="80">
        <v>20</v>
      </c>
      <c r="B98" s="81" t="s">
        <v>155</v>
      </c>
      <c r="C98" s="81"/>
      <c r="D98" s="82">
        <v>259.3</v>
      </c>
      <c r="E98" s="83">
        <v>897.6</v>
      </c>
      <c r="F98" s="82">
        <f t="shared" si="1"/>
        <v>3461.6274585422289</v>
      </c>
    </row>
    <row r="99" spans="1:7" ht="14" thickBot="1" x14ac:dyDescent="0.2">
      <c r="A99" s="103"/>
      <c r="B99" s="84">
        <v>1</v>
      </c>
      <c r="C99" s="85" t="s">
        <v>156</v>
      </c>
      <c r="D99" s="86">
        <v>108</v>
      </c>
      <c r="E99" s="87">
        <v>364.2</v>
      </c>
      <c r="F99" s="86">
        <f t="shared" si="1"/>
        <v>3372.2222222222222</v>
      </c>
      <c r="G99" t="s">
        <v>107</v>
      </c>
    </row>
    <row r="100" spans="1:7" ht="14" thickBot="1" x14ac:dyDescent="0.2">
      <c r="A100" s="103"/>
      <c r="B100" s="84">
        <v>2</v>
      </c>
      <c r="C100" s="85" t="s">
        <v>157</v>
      </c>
      <c r="D100" s="86">
        <v>50.4</v>
      </c>
      <c r="E100" s="87">
        <v>154.9</v>
      </c>
      <c r="F100" s="86">
        <f t="shared" si="1"/>
        <v>3073.4126984126983</v>
      </c>
    </row>
    <row r="101" spans="1:7" ht="14" thickBot="1" x14ac:dyDescent="0.2">
      <c r="A101" s="103"/>
      <c r="B101" s="84">
        <v>3</v>
      </c>
      <c r="C101" s="85" t="s">
        <v>158</v>
      </c>
      <c r="D101" s="86">
        <v>81.599999999999994</v>
      </c>
      <c r="E101" s="87">
        <v>315</v>
      </c>
      <c r="F101" s="86">
        <f t="shared" si="1"/>
        <v>3860.294117647059</v>
      </c>
    </row>
    <row r="102" spans="1:7" ht="14" thickBot="1" x14ac:dyDescent="0.2">
      <c r="A102" s="103"/>
      <c r="B102" s="84">
        <v>4</v>
      </c>
      <c r="C102" s="85" t="s">
        <v>159</v>
      </c>
      <c r="D102" s="86">
        <v>18</v>
      </c>
      <c r="E102" s="87">
        <v>58.3</v>
      </c>
      <c r="F102" s="86">
        <f t="shared" si="1"/>
        <v>3238.8888888888887</v>
      </c>
    </row>
    <row r="103" spans="1:7" ht="14" thickBot="1" x14ac:dyDescent="0.2">
      <c r="A103" s="104"/>
      <c r="B103" s="88">
        <v>5</v>
      </c>
      <c r="C103" s="89" t="s">
        <v>160</v>
      </c>
      <c r="D103" s="90">
        <v>1.3</v>
      </c>
      <c r="E103" s="91">
        <v>5.0999999999999996</v>
      </c>
      <c r="F103" s="90">
        <f t="shared" si="1"/>
        <v>3923.0769230769229</v>
      </c>
      <c r="G103" t="s">
        <v>107</v>
      </c>
    </row>
    <row r="104" spans="1:7" ht="14" thickBot="1" x14ac:dyDescent="0.2">
      <c r="A104" s="136" t="s">
        <v>105</v>
      </c>
      <c r="B104" s="137"/>
      <c r="C104" s="138"/>
      <c r="D104" s="82">
        <v>170960.9</v>
      </c>
      <c r="E104" s="83">
        <v>525430.6</v>
      </c>
      <c r="F104" s="82">
        <f t="shared" si="1"/>
        <v>3073.3963145959106</v>
      </c>
    </row>
  </sheetData>
  <mergeCells count="9">
    <mergeCell ref="A104:C104"/>
    <mergeCell ref="A1:E1"/>
    <mergeCell ref="A2:E2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showGridLines="0" workbookViewId="0">
      <selection activeCell="I25" sqref="I25"/>
    </sheetView>
  </sheetViews>
  <sheetFormatPr baseColWidth="10" defaultColWidth="8.83203125" defaultRowHeight="13" x14ac:dyDescent="0.15"/>
  <cols>
    <col min="1" max="1" width="4.83203125" customWidth="1"/>
    <col min="2" max="2" width="14.1640625" customWidth="1"/>
    <col min="3" max="3" width="24.6640625" customWidth="1"/>
    <col min="4" max="4" width="15" customWidth="1"/>
    <col min="5" max="5" width="15.83203125" customWidth="1"/>
    <col min="6" max="6" width="15.6640625" customWidth="1"/>
    <col min="9" max="9" width="12.83203125" customWidth="1"/>
    <col min="10" max="12" width="12.33203125" customWidth="1"/>
    <col min="257" max="257" width="4.83203125" customWidth="1"/>
    <col min="258" max="258" width="14.1640625" customWidth="1"/>
    <col min="259" max="259" width="24.6640625" customWidth="1"/>
    <col min="260" max="260" width="15" customWidth="1"/>
    <col min="261" max="261" width="15.83203125" customWidth="1"/>
    <col min="262" max="262" width="15.6640625" customWidth="1"/>
    <col min="513" max="513" width="4.83203125" customWidth="1"/>
    <col min="514" max="514" width="14.1640625" customWidth="1"/>
    <col min="515" max="515" width="24.6640625" customWidth="1"/>
    <col min="516" max="516" width="15" customWidth="1"/>
    <col min="517" max="517" width="15.83203125" customWidth="1"/>
    <col min="518" max="518" width="15.6640625" customWidth="1"/>
    <col min="769" max="769" width="4.83203125" customWidth="1"/>
    <col min="770" max="770" width="14.1640625" customWidth="1"/>
    <col min="771" max="771" width="24.6640625" customWidth="1"/>
    <col min="772" max="772" width="15" customWidth="1"/>
    <col min="773" max="773" width="15.83203125" customWidth="1"/>
    <col min="774" max="774" width="15.6640625" customWidth="1"/>
    <col min="1025" max="1025" width="4.83203125" customWidth="1"/>
    <col min="1026" max="1026" width="14.1640625" customWidth="1"/>
    <col min="1027" max="1027" width="24.6640625" customWidth="1"/>
    <col min="1028" max="1028" width="15" customWidth="1"/>
    <col min="1029" max="1029" width="15.83203125" customWidth="1"/>
    <col min="1030" max="1030" width="15.6640625" customWidth="1"/>
    <col min="1281" max="1281" width="4.83203125" customWidth="1"/>
    <col min="1282" max="1282" width="14.1640625" customWidth="1"/>
    <col min="1283" max="1283" width="24.6640625" customWidth="1"/>
    <col min="1284" max="1284" width="15" customWidth="1"/>
    <col min="1285" max="1285" width="15.83203125" customWidth="1"/>
    <col min="1286" max="1286" width="15.6640625" customWidth="1"/>
    <col min="1537" max="1537" width="4.83203125" customWidth="1"/>
    <col min="1538" max="1538" width="14.1640625" customWidth="1"/>
    <col min="1539" max="1539" width="24.6640625" customWidth="1"/>
    <col min="1540" max="1540" width="15" customWidth="1"/>
    <col min="1541" max="1541" width="15.83203125" customWidth="1"/>
    <col min="1542" max="1542" width="15.6640625" customWidth="1"/>
    <col min="1793" max="1793" width="4.83203125" customWidth="1"/>
    <col min="1794" max="1794" width="14.1640625" customWidth="1"/>
    <col min="1795" max="1795" width="24.6640625" customWidth="1"/>
    <col min="1796" max="1796" width="15" customWidth="1"/>
    <col min="1797" max="1797" width="15.83203125" customWidth="1"/>
    <col min="1798" max="1798" width="15.6640625" customWidth="1"/>
    <col min="2049" max="2049" width="4.83203125" customWidth="1"/>
    <col min="2050" max="2050" width="14.1640625" customWidth="1"/>
    <col min="2051" max="2051" width="24.6640625" customWidth="1"/>
    <col min="2052" max="2052" width="15" customWidth="1"/>
    <col min="2053" max="2053" width="15.83203125" customWidth="1"/>
    <col min="2054" max="2054" width="15.6640625" customWidth="1"/>
    <col min="2305" max="2305" width="4.83203125" customWidth="1"/>
    <col min="2306" max="2306" width="14.1640625" customWidth="1"/>
    <col min="2307" max="2307" width="24.6640625" customWidth="1"/>
    <col min="2308" max="2308" width="15" customWidth="1"/>
    <col min="2309" max="2309" width="15.83203125" customWidth="1"/>
    <col min="2310" max="2310" width="15.6640625" customWidth="1"/>
    <col min="2561" max="2561" width="4.83203125" customWidth="1"/>
    <col min="2562" max="2562" width="14.1640625" customWidth="1"/>
    <col min="2563" max="2563" width="24.6640625" customWidth="1"/>
    <col min="2564" max="2564" width="15" customWidth="1"/>
    <col min="2565" max="2565" width="15.83203125" customWidth="1"/>
    <col min="2566" max="2566" width="15.6640625" customWidth="1"/>
    <col min="2817" max="2817" width="4.83203125" customWidth="1"/>
    <col min="2818" max="2818" width="14.1640625" customWidth="1"/>
    <col min="2819" max="2819" width="24.6640625" customWidth="1"/>
    <col min="2820" max="2820" width="15" customWidth="1"/>
    <col min="2821" max="2821" width="15.83203125" customWidth="1"/>
    <col min="2822" max="2822" width="15.6640625" customWidth="1"/>
    <col min="3073" max="3073" width="4.83203125" customWidth="1"/>
    <col min="3074" max="3074" width="14.1640625" customWidth="1"/>
    <col min="3075" max="3075" width="24.6640625" customWidth="1"/>
    <col min="3076" max="3076" width="15" customWidth="1"/>
    <col min="3077" max="3077" width="15.83203125" customWidth="1"/>
    <col min="3078" max="3078" width="15.6640625" customWidth="1"/>
    <col min="3329" max="3329" width="4.83203125" customWidth="1"/>
    <col min="3330" max="3330" width="14.1640625" customWidth="1"/>
    <col min="3331" max="3331" width="24.6640625" customWidth="1"/>
    <col min="3332" max="3332" width="15" customWidth="1"/>
    <col min="3333" max="3333" width="15.83203125" customWidth="1"/>
    <col min="3334" max="3334" width="15.6640625" customWidth="1"/>
    <col min="3585" max="3585" width="4.83203125" customWidth="1"/>
    <col min="3586" max="3586" width="14.1640625" customWidth="1"/>
    <col min="3587" max="3587" width="24.6640625" customWidth="1"/>
    <col min="3588" max="3588" width="15" customWidth="1"/>
    <col min="3589" max="3589" width="15.83203125" customWidth="1"/>
    <col min="3590" max="3590" width="15.6640625" customWidth="1"/>
    <col min="3841" max="3841" width="4.83203125" customWidth="1"/>
    <col min="3842" max="3842" width="14.1640625" customWidth="1"/>
    <col min="3843" max="3843" width="24.6640625" customWidth="1"/>
    <col min="3844" max="3844" width="15" customWidth="1"/>
    <col min="3845" max="3845" width="15.83203125" customWidth="1"/>
    <col min="3846" max="3846" width="15.6640625" customWidth="1"/>
    <col min="4097" max="4097" width="4.83203125" customWidth="1"/>
    <col min="4098" max="4098" width="14.1640625" customWidth="1"/>
    <col min="4099" max="4099" width="24.6640625" customWidth="1"/>
    <col min="4100" max="4100" width="15" customWidth="1"/>
    <col min="4101" max="4101" width="15.83203125" customWidth="1"/>
    <col min="4102" max="4102" width="15.6640625" customWidth="1"/>
    <col min="4353" max="4353" width="4.83203125" customWidth="1"/>
    <col min="4354" max="4354" width="14.1640625" customWidth="1"/>
    <col min="4355" max="4355" width="24.6640625" customWidth="1"/>
    <col min="4356" max="4356" width="15" customWidth="1"/>
    <col min="4357" max="4357" width="15.83203125" customWidth="1"/>
    <col min="4358" max="4358" width="15.6640625" customWidth="1"/>
    <col min="4609" max="4609" width="4.83203125" customWidth="1"/>
    <col min="4610" max="4610" width="14.1640625" customWidth="1"/>
    <col min="4611" max="4611" width="24.6640625" customWidth="1"/>
    <col min="4612" max="4612" width="15" customWidth="1"/>
    <col min="4613" max="4613" width="15.83203125" customWidth="1"/>
    <col min="4614" max="4614" width="15.6640625" customWidth="1"/>
    <col min="4865" max="4865" width="4.83203125" customWidth="1"/>
    <col min="4866" max="4866" width="14.1640625" customWidth="1"/>
    <col min="4867" max="4867" width="24.6640625" customWidth="1"/>
    <col min="4868" max="4868" width="15" customWidth="1"/>
    <col min="4869" max="4869" width="15.83203125" customWidth="1"/>
    <col min="4870" max="4870" width="15.6640625" customWidth="1"/>
    <col min="5121" max="5121" width="4.83203125" customWidth="1"/>
    <col min="5122" max="5122" width="14.1640625" customWidth="1"/>
    <col min="5123" max="5123" width="24.6640625" customWidth="1"/>
    <col min="5124" max="5124" width="15" customWidth="1"/>
    <col min="5125" max="5125" width="15.83203125" customWidth="1"/>
    <col min="5126" max="5126" width="15.6640625" customWidth="1"/>
    <col min="5377" max="5377" width="4.83203125" customWidth="1"/>
    <col min="5378" max="5378" width="14.1640625" customWidth="1"/>
    <col min="5379" max="5379" width="24.6640625" customWidth="1"/>
    <col min="5380" max="5380" width="15" customWidth="1"/>
    <col min="5381" max="5381" width="15.83203125" customWidth="1"/>
    <col min="5382" max="5382" width="15.6640625" customWidth="1"/>
    <col min="5633" max="5633" width="4.83203125" customWidth="1"/>
    <col min="5634" max="5634" width="14.1640625" customWidth="1"/>
    <col min="5635" max="5635" width="24.6640625" customWidth="1"/>
    <col min="5636" max="5636" width="15" customWidth="1"/>
    <col min="5637" max="5637" width="15.83203125" customWidth="1"/>
    <col min="5638" max="5638" width="15.6640625" customWidth="1"/>
    <col min="5889" max="5889" width="4.83203125" customWidth="1"/>
    <col min="5890" max="5890" width="14.1640625" customWidth="1"/>
    <col min="5891" max="5891" width="24.6640625" customWidth="1"/>
    <col min="5892" max="5892" width="15" customWidth="1"/>
    <col min="5893" max="5893" width="15.83203125" customWidth="1"/>
    <col min="5894" max="5894" width="15.6640625" customWidth="1"/>
    <col min="6145" max="6145" width="4.83203125" customWidth="1"/>
    <col min="6146" max="6146" width="14.1640625" customWidth="1"/>
    <col min="6147" max="6147" width="24.6640625" customWidth="1"/>
    <col min="6148" max="6148" width="15" customWidth="1"/>
    <col min="6149" max="6149" width="15.83203125" customWidth="1"/>
    <col min="6150" max="6150" width="15.6640625" customWidth="1"/>
    <col min="6401" max="6401" width="4.83203125" customWidth="1"/>
    <col min="6402" max="6402" width="14.1640625" customWidth="1"/>
    <col min="6403" max="6403" width="24.6640625" customWidth="1"/>
    <col min="6404" max="6404" width="15" customWidth="1"/>
    <col min="6405" max="6405" width="15.83203125" customWidth="1"/>
    <col min="6406" max="6406" width="15.6640625" customWidth="1"/>
    <col min="6657" max="6657" width="4.83203125" customWidth="1"/>
    <col min="6658" max="6658" width="14.1640625" customWidth="1"/>
    <col min="6659" max="6659" width="24.6640625" customWidth="1"/>
    <col min="6660" max="6660" width="15" customWidth="1"/>
    <col min="6661" max="6661" width="15.83203125" customWidth="1"/>
    <col min="6662" max="6662" width="15.6640625" customWidth="1"/>
    <col min="6913" max="6913" width="4.83203125" customWidth="1"/>
    <col min="6914" max="6914" width="14.1640625" customWidth="1"/>
    <col min="6915" max="6915" width="24.6640625" customWidth="1"/>
    <col min="6916" max="6916" width="15" customWidth="1"/>
    <col min="6917" max="6917" width="15.83203125" customWidth="1"/>
    <col min="6918" max="6918" width="15.6640625" customWidth="1"/>
    <col min="7169" max="7169" width="4.83203125" customWidth="1"/>
    <col min="7170" max="7170" width="14.1640625" customWidth="1"/>
    <col min="7171" max="7171" width="24.6640625" customWidth="1"/>
    <col min="7172" max="7172" width="15" customWidth="1"/>
    <col min="7173" max="7173" width="15.83203125" customWidth="1"/>
    <col min="7174" max="7174" width="15.6640625" customWidth="1"/>
    <col min="7425" max="7425" width="4.83203125" customWidth="1"/>
    <col min="7426" max="7426" width="14.1640625" customWidth="1"/>
    <col min="7427" max="7427" width="24.6640625" customWidth="1"/>
    <col min="7428" max="7428" width="15" customWidth="1"/>
    <col min="7429" max="7429" width="15.83203125" customWidth="1"/>
    <col min="7430" max="7430" width="15.6640625" customWidth="1"/>
    <col min="7681" max="7681" width="4.83203125" customWidth="1"/>
    <col min="7682" max="7682" width="14.1640625" customWidth="1"/>
    <col min="7683" max="7683" width="24.6640625" customWidth="1"/>
    <col min="7684" max="7684" width="15" customWidth="1"/>
    <col min="7685" max="7685" width="15.83203125" customWidth="1"/>
    <col min="7686" max="7686" width="15.6640625" customWidth="1"/>
    <col min="7937" max="7937" width="4.83203125" customWidth="1"/>
    <col min="7938" max="7938" width="14.1640625" customWidth="1"/>
    <col min="7939" max="7939" width="24.6640625" customWidth="1"/>
    <col min="7940" max="7940" width="15" customWidth="1"/>
    <col min="7941" max="7941" width="15.83203125" customWidth="1"/>
    <col min="7942" max="7942" width="15.6640625" customWidth="1"/>
    <col min="8193" max="8193" width="4.83203125" customWidth="1"/>
    <col min="8194" max="8194" width="14.1640625" customWidth="1"/>
    <col min="8195" max="8195" width="24.6640625" customWidth="1"/>
    <col min="8196" max="8196" width="15" customWidth="1"/>
    <col min="8197" max="8197" width="15.83203125" customWidth="1"/>
    <col min="8198" max="8198" width="15.6640625" customWidth="1"/>
    <col min="8449" max="8449" width="4.83203125" customWidth="1"/>
    <col min="8450" max="8450" width="14.1640625" customWidth="1"/>
    <col min="8451" max="8451" width="24.6640625" customWidth="1"/>
    <col min="8452" max="8452" width="15" customWidth="1"/>
    <col min="8453" max="8453" width="15.83203125" customWidth="1"/>
    <col min="8454" max="8454" width="15.6640625" customWidth="1"/>
    <col min="8705" max="8705" width="4.83203125" customWidth="1"/>
    <col min="8706" max="8706" width="14.1640625" customWidth="1"/>
    <col min="8707" max="8707" width="24.6640625" customWidth="1"/>
    <col min="8708" max="8708" width="15" customWidth="1"/>
    <col min="8709" max="8709" width="15.83203125" customWidth="1"/>
    <col min="8710" max="8710" width="15.6640625" customWidth="1"/>
    <col min="8961" max="8961" width="4.83203125" customWidth="1"/>
    <col min="8962" max="8962" width="14.1640625" customWidth="1"/>
    <col min="8963" max="8963" width="24.6640625" customWidth="1"/>
    <col min="8964" max="8964" width="15" customWidth="1"/>
    <col min="8965" max="8965" width="15.83203125" customWidth="1"/>
    <col min="8966" max="8966" width="15.6640625" customWidth="1"/>
    <col min="9217" max="9217" width="4.83203125" customWidth="1"/>
    <col min="9218" max="9218" width="14.1640625" customWidth="1"/>
    <col min="9219" max="9219" width="24.6640625" customWidth="1"/>
    <col min="9220" max="9220" width="15" customWidth="1"/>
    <col min="9221" max="9221" width="15.83203125" customWidth="1"/>
    <col min="9222" max="9222" width="15.6640625" customWidth="1"/>
    <col min="9473" max="9473" width="4.83203125" customWidth="1"/>
    <col min="9474" max="9474" width="14.1640625" customWidth="1"/>
    <col min="9475" max="9475" width="24.6640625" customWidth="1"/>
    <col min="9476" max="9476" width="15" customWidth="1"/>
    <col min="9477" max="9477" width="15.83203125" customWidth="1"/>
    <col min="9478" max="9478" width="15.6640625" customWidth="1"/>
    <col min="9729" max="9729" width="4.83203125" customWidth="1"/>
    <col min="9730" max="9730" width="14.1640625" customWidth="1"/>
    <col min="9731" max="9731" width="24.6640625" customWidth="1"/>
    <col min="9732" max="9732" width="15" customWidth="1"/>
    <col min="9733" max="9733" width="15.83203125" customWidth="1"/>
    <col min="9734" max="9734" width="15.6640625" customWidth="1"/>
    <col min="9985" max="9985" width="4.83203125" customWidth="1"/>
    <col min="9986" max="9986" width="14.1640625" customWidth="1"/>
    <col min="9987" max="9987" width="24.6640625" customWidth="1"/>
    <col min="9988" max="9988" width="15" customWidth="1"/>
    <col min="9989" max="9989" width="15.83203125" customWidth="1"/>
    <col min="9990" max="9990" width="15.6640625" customWidth="1"/>
    <col min="10241" max="10241" width="4.83203125" customWidth="1"/>
    <col min="10242" max="10242" width="14.1640625" customWidth="1"/>
    <col min="10243" max="10243" width="24.6640625" customWidth="1"/>
    <col min="10244" max="10244" width="15" customWidth="1"/>
    <col min="10245" max="10245" width="15.83203125" customWidth="1"/>
    <col min="10246" max="10246" width="15.6640625" customWidth="1"/>
    <col min="10497" max="10497" width="4.83203125" customWidth="1"/>
    <col min="10498" max="10498" width="14.1640625" customWidth="1"/>
    <col min="10499" max="10499" width="24.6640625" customWidth="1"/>
    <col min="10500" max="10500" width="15" customWidth="1"/>
    <col min="10501" max="10501" width="15.83203125" customWidth="1"/>
    <col min="10502" max="10502" width="15.6640625" customWidth="1"/>
    <col min="10753" max="10753" width="4.83203125" customWidth="1"/>
    <col min="10754" max="10754" width="14.1640625" customWidth="1"/>
    <col min="10755" max="10755" width="24.6640625" customWidth="1"/>
    <col min="10756" max="10756" width="15" customWidth="1"/>
    <col min="10757" max="10757" width="15.83203125" customWidth="1"/>
    <col min="10758" max="10758" width="15.6640625" customWidth="1"/>
    <col min="11009" max="11009" width="4.83203125" customWidth="1"/>
    <col min="11010" max="11010" width="14.1640625" customWidth="1"/>
    <col min="11011" max="11011" width="24.6640625" customWidth="1"/>
    <col min="11012" max="11012" width="15" customWidth="1"/>
    <col min="11013" max="11013" width="15.83203125" customWidth="1"/>
    <col min="11014" max="11014" width="15.6640625" customWidth="1"/>
    <col min="11265" max="11265" width="4.83203125" customWidth="1"/>
    <col min="11266" max="11266" width="14.1640625" customWidth="1"/>
    <col min="11267" max="11267" width="24.6640625" customWidth="1"/>
    <col min="11268" max="11268" width="15" customWidth="1"/>
    <col min="11269" max="11269" width="15.83203125" customWidth="1"/>
    <col min="11270" max="11270" width="15.6640625" customWidth="1"/>
    <col min="11521" max="11521" width="4.83203125" customWidth="1"/>
    <col min="11522" max="11522" width="14.1640625" customWidth="1"/>
    <col min="11523" max="11523" width="24.6640625" customWidth="1"/>
    <col min="11524" max="11524" width="15" customWidth="1"/>
    <col min="11525" max="11525" width="15.83203125" customWidth="1"/>
    <col min="11526" max="11526" width="15.6640625" customWidth="1"/>
    <col min="11777" max="11777" width="4.83203125" customWidth="1"/>
    <col min="11778" max="11778" width="14.1640625" customWidth="1"/>
    <col min="11779" max="11779" width="24.6640625" customWidth="1"/>
    <col min="11780" max="11780" width="15" customWidth="1"/>
    <col min="11781" max="11781" width="15.83203125" customWidth="1"/>
    <col min="11782" max="11782" width="15.6640625" customWidth="1"/>
    <col min="12033" max="12033" width="4.83203125" customWidth="1"/>
    <col min="12034" max="12034" width="14.1640625" customWidth="1"/>
    <col min="12035" max="12035" width="24.6640625" customWidth="1"/>
    <col min="12036" max="12036" width="15" customWidth="1"/>
    <col min="12037" max="12037" width="15.83203125" customWidth="1"/>
    <col min="12038" max="12038" width="15.6640625" customWidth="1"/>
    <col min="12289" max="12289" width="4.83203125" customWidth="1"/>
    <col min="12290" max="12290" width="14.1640625" customWidth="1"/>
    <col min="12291" max="12291" width="24.6640625" customWidth="1"/>
    <col min="12292" max="12292" width="15" customWidth="1"/>
    <col min="12293" max="12293" width="15.83203125" customWidth="1"/>
    <col min="12294" max="12294" width="15.6640625" customWidth="1"/>
    <col min="12545" max="12545" width="4.83203125" customWidth="1"/>
    <col min="12546" max="12546" width="14.1640625" customWidth="1"/>
    <col min="12547" max="12547" width="24.6640625" customWidth="1"/>
    <col min="12548" max="12548" width="15" customWidth="1"/>
    <col min="12549" max="12549" width="15.83203125" customWidth="1"/>
    <col min="12550" max="12550" width="15.6640625" customWidth="1"/>
    <col min="12801" max="12801" width="4.83203125" customWidth="1"/>
    <col min="12802" max="12802" width="14.1640625" customWidth="1"/>
    <col min="12803" max="12803" width="24.6640625" customWidth="1"/>
    <col min="12804" max="12804" width="15" customWidth="1"/>
    <col min="12805" max="12805" width="15.83203125" customWidth="1"/>
    <col min="12806" max="12806" width="15.6640625" customWidth="1"/>
    <col min="13057" max="13057" width="4.83203125" customWidth="1"/>
    <col min="13058" max="13058" width="14.1640625" customWidth="1"/>
    <col min="13059" max="13059" width="24.6640625" customWidth="1"/>
    <col min="13060" max="13060" width="15" customWidth="1"/>
    <col min="13061" max="13061" width="15.83203125" customWidth="1"/>
    <col min="13062" max="13062" width="15.6640625" customWidth="1"/>
    <col min="13313" max="13313" width="4.83203125" customWidth="1"/>
    <col min="13314" max="13314" width="14.1640625" customWidth="1"/>
    <col min="13315" max="13315" width="24.6640625" customWidth="1"/>
    <col min="13316" max="13316" width="15" customWidth="1"/>
    <col min="13317" max="13317" width="15.83203125" customWidth="1"/>
    <col min="13318" max="13318" width="15.6640625" customWidth="1"/>
    <col min="13569" max="13569" width="4.83203125" customWidth="1"/>
    <col min="13570" max="13570" width="14.1640625" customWidth="1"/>
    <col min="13571" max="13571" width="24.6640625" customWidth="1"/>
    <col min="13572" max="13572" width="15" customWidth="1"/>
    <col min="13573" max="13573" width="15.83203125" customWidth="1"/>
    <col min="13574" max="13574" width="15.6640625" customWidth="1"/>
    <col min="13825" max="13825" width="4.83203125" customWidth="1"/>
    <col min="13826" max="13826" width="14.1640625" customWidth="1"/>
    <col min="13827" max="13827" width="24.6640625" customWidth="1"/>
    <col min="13828" max="13828" width="15" customWidth="1"/>
    <col min="13829" max="13829" width="15.83203125" customWidth="1"/>
    <col min="13830" max="13830" width="15.6640625" customWidth="1"/>
    <col min="14081" max="14081" width="4.83203125" customWidth="1"/>
    <col min="14082" max="14082" width="14.1640625" customWidth="1"/>
    <col min="14083" max="14083" width="24.6640625" customWidth="1"/>
    <col min="14084" max="14084" width="15" customWidth="1"/>
    <col min="14085" max="14085" width="15.83203125" customWidth="1"/>
    <col min="14086" max="14086" width="15.6640625" customWidth="1"/>
    <col min="14337" max="14337" width="4.83203125" customWidth="1"/>
    <col min="14338" max="14338" width="14.1640625" customWidth="1"/>
    <col min="14339" max="14339" width="24.6640625" customWidth="1"/>
    <col min="14340" max="14340" width="15" customWidth="1"/>
    <col min="14341" max="14341" width="15.83203125" customWidth="1"/>
    <col min="14342" max="14342" width="15.6640625" customWidth="1"/>
    <col min="14593" max="14593" width="4.83203125" customWidth="1"/>
    <col min="14594" max="14594" width="14.1640625" customWidth="1"/>
    <col min="14595" max="14595" width="24.6640625" customWidth="1"/>
    <col min="14596" max="14596" width="15" customWidth="1"/>
    <col min="14597" max="14597" width="15.83203125" customWidth="1"/>
    <col min="14598" max="14598" width="15.6640625" customWidth="1"/>
    <col min="14849" max="14849" width="4.83203125" customWidth="1"/>
    <col min="14850" max="14850" width="14.1640625" customWidth="1"/>
    <col min="14851" max="14851" width="24.6640625" customWidth="1"/>
    <col min="14852" max="14852" width="15" customWidth="1"/>
    <col min="14853" max="14853" width="15.83203125" customWidth="1"/>
    <col min="14854" max="14854" width="15.6640625" customWidth="1"/>
    <col min="15105" max="15105" width="4.83203125" customWidth="1"/>
    <col min="15106" max="15106" width="14.1640625" customWidth="1"/>
    <col min="15107" max="15107" width="24.6640625" customWidth="1"/>
    <col min="15108" max="15108" width="15" customWidth="1"/>
    <col min="15109" max="15109" width="15.83203125" customWidth="1"/>
    <col min="15110" max="15110" width="15.6640625" customWidth="1"/>
    <col min="15361" max="15361" width="4.83203125" customWidth="1"/>
    <col min="15362" max="15362" width="14.1640625" customWidth="1"/>
    <col min="15363" max="15363" width="24.6640625" customWidth="1"/>
    <col min="15364" max="15364" width="15" customWidth="1"/>
    <col min="15365" max="15365" width="15.83203125" customWidth="1"/>
    <col min="15366" max="15366" width="15.6640625" customWidth="1"/>
    <col min="15617" max="15617" width="4.83203125" customWidth="1"/>
    <col min="15618" max="15618" width="14.1640625" customWidth="1"/>
    <col min="15619" max="15619" width="24.6640625" customWidth="1"/>
    <col min="15620" max="15620" width="15" customWidth="1"/>
    <col min="15621" max="15621" width="15.83203125" customWidth="1"/>
    <col min="15622" max="15622" width="15.6640625" customWidth="1"/>
    <col min="15873" max="15873" width="4.83203125" customWidth="1"/>
    <col min="15874" max="15874" width="14.1640625" customWidth="1"/>
    <col min="15875" max="15875" width="24.6640625" customWidth="1"/>
    <col min="15876" max="15876" width="15" customWidth="1"/>
    <col min="15877" max="15877" width="15.83203125" customWidth="1"/>
    <col min="15878" max="15878" width="15.6640625" customWidth="1"/>
    <col min="16129" max="16129" width="4.83203125" customWidth="1"/>
    <col min="16130" max="16130" width="14.1640625" customWidth="1"/>
    <col min="16131" max="16131" width="24.6640625" customWidth="1"/>
    <col min="16132" max="16132" width="15" customWidth="1"/>
    <col min="16133" max="16133" width="15.83203125" customWidth="1"/>
    <col min="16134" max="16134" width="15.6640625" customWidth="1"/>
  </cols>
  <sheetData>
    <row r="1" spans="1:13" ht="18" x14ac:dyDescent="0.2">
      <c r="A1" s="139" t="s">
        <v>28</v>
      </c>
      <c r="B1" s="139"/>
      <c r="C1" s="139"/>
      <c r="D1" s="139"/>
      <c r="E1" s="139"/>
    </row>
    <row r="2" spans="1:13" ht="16" x14ac:dyDescent="0.2">
      <c r="A2" s="140" t="s">
        <v>106</v>
      </c>
      <c r="B2" s="141"/>
      <c r="C2" s="141"/>
      <c r="D2" s="141"/>
      <c r="E2" s="141"/>
    </row>
    <row r="4" spans="1:13" ht="14" thickBot="1" x14ac:dyDescent="0.2">
      <c r="B4" s="18"/>
      <c r="C4" s="18"/>
      <c r="E4" s="19"/>
      <c r="F4" s="18"/>
    </row>
    <row r="5" spans="1:13" ht="17" thickBot="1" x14ac:dyDescent="0.25">
      <c r="A5" s="152" t="s">
        <v>30</v>
      </c>
      <c r="B5" s="154" t="s">
        <v>31</v>
      </c>
      <c r="C5" s="154" t="s">
        <v>32</v>
      </c>
      <c r="D5" s="157" t="s">
        <v>33</v>
      </c>
      <c r="E5" s="159" t="s">
        <v>34</v>
      </c>
      <c r="F5" s="20" t="s">
        <v>35</v>
      </c>
    </row>
    <row r="6" spans="1:13" ht="17" thickBot="1" x14ac:dyDescent="0.25">
      <c r="A6" s="153"/>
      <c r="B6" s="155"/>
      <c r="C6" s="156"/>
      <c r="D6" s="158"/>
      <c r="E6" s="160"/>
      <c r="F6" s="21" t="s">
        <v>111</v>
      </c>
      <c r="I6" s="77" t="s">
        <v>114</v>
      </c>
      <c r="J6" s="78"/>
      <c r="K6" s="78"/>
      <c r="L6" s="78"/>
    </row>
    <row r="7" spans="1:13" ht="14" thickBot="1" x14ac:dyDescent="0.2">
      <c r="A7" s="22">
        <v>1</v>
      </c>
      <c r="B7" s="23" t="s">
        <v>36</v>
      </c>
      <c r="C7" s="23"/>
      <c r="D7" s="24">
        <v>66620.617480000001</v>
      </c>
      <c r="E7" s="25">
        <v>329927282.38484544</v>
      </c>
      <c r="F7" s="25">
        <v>4952.3299972998902</v>
      </c>
      <c r="J7" s="75" t="s">
        <v>109</v>
      </c>
      <c r="K7" s="75" t="s">
        <v>34</v>
      </c>
      <c r="L7" s="75" t="s">
        <v>110</v>
      </c>
    </row>
    <row r="8" spans="1:13" x14ac:dyDescent="0.15">
      <c r="A8" s="26"/>
      <c r="B8" s="27">
        <v>1</v>
      </c>
      <c r="C8" s="28" t="s">
        <v>37</v>
      </c>
      <c r="D8" s="29">
        <v>38236.427479999998</v>
      </c>
      <c r="E8" s="29">
        <v>209128653.76692209</v>
      </c>
      <c r="F8" s="30">
        <v>5469.3565154932221</v>
      </c>
      <c r="G8" t="s">
        <v>107</v>
      </c>
      <c r="I8" t="s">
        <v>108</v>
      </c>
      <c r="J8" s="58">
        <f>SUMIF($G$8:$G$82,"W",D$8:D$82)</f>
        <v>62280.322439999989</v>
      </c>
      <c r="K8" s="58">
        <f>SUMIF($G$8:$G$82,"W",E$8:E$82)</f>
        <v>335544601.00709581</v>
      </c>
      <c r="L8" s="58">
        <f>K8/J8</f>
        <v>5387.6503502427258</v>
      </c>
      <c r="M8" s="58"/>
    </row>
    <row r="9" spans="1:13" x14ac:dyDescent="0.15">
      <c r="A9" s="31"/>
      <c r="B9" s="32">
        <f t="shared" ref="B9:B16" si="0">B8+1</f>
        <v>2</v>
      </c>
      <c r="C9" s="33" t="s">
        <v>38</v>
      </c>
      <c r="D9" s="34">
        <v>24691.199999999997</v>
      </c>
      <c r="E9" s="34">
        <v>105266919.71008022</v>
      </c>
      <c r="F9" s="35">
        <v>4263.3375336184645</v>
      </c>
      <c r="I9" t="s">
        <v>112</v>
      </c>
      <c r="J9" s="58">
        <f>J10-J8</f>
        <v>133837.60600000003</v>
      </c>
      <c r="K9" s="58">
        <f>K10-K8</f>
        <v>506105118.17316556</v>
      </c>
      <c r="L9" s="58">
        <f>K9/J9</f>
        <v>3781.4866336832524</v>
      </c>
    </row>
    <row r="10" spans="1:13" x14ac:dyDescent="0.15">
      <c r="A10" s="31"/>
      <c r="B10" s="32">
        <f t="shared" si="0"/>
        <v>3</v>
      </c>
      <c r="C10" s="33" t="s">
        <v>39</v>
      </c>
      <c r="D10" s="34">
        <v>2348.4</v>
      </c>
      <c r="E10" s="34">
        <v>9747564.2533207759</v>
      </c>
      <c r="F10" s="35">
        <v>4150.7257082783071</v>
      </c>
      <c r="G10" t="s">
        <v>107</v>
      </c>
      <c r="I10" s="74" t="s">
        <v>113</v>
      </c>
      <c r="J10" s="76">
        <f>D82</f>
        <v>196117.92844000002</v>
      </c>
      <c r="K10" s="76">
        <f>E82</f>
        <v>841649719.18026137</v>
      </c>
      <c r="L10" s="76">
        <f>K10/J10</f>
        <v>4291.5490994376596</v>
      </c>
    </row>
    <row r="11" spans="1:13" x14ac:dyDescent="0.15">
      <c r="A11" s="31"/>
      <c r="B11" s="32">
        <f t="shared" si="0"/>
        <v>4</v>
      </c>
      <c r="C11" s="33" t="s">
        <v>40</v>
      </c>
      <c r="D11" s="34">
        <v>705.6</v>
      </c>
      <c r="E11" s="34">
        <v>3060285.2611277997</v>
      </c>
      <c r="F11" s="35">
        <v>4337.1389755212576</v>
      </c>
      <c r="G11" t="s">
        <v>107</v>
      </c>
    </row>
    <row r="12" spans="1:13" x14ac:dyDescent="0.15">
      <c r="A12" s="31"/>
      <c r="B12" s="32">
        <f t="shared" si="0"/>
        <v>5</v>
      </c>
      <c r="C12" s="33" t="s">
        <v>41</v>
      </c>
      <c r="D12" s="34">
        <v>334.14000000000004</v>
      </c>
      <c r="E12" s="34">
        <v>1663054.5246637152</v>
      </c>
      <c r="F12" s="35">
        <v>4977.1189461414824</v>
      </c>
    </row>
    <row r="13" spans="1:13" x14ac:dyDescent="0.15">
      <c r="A13" s="31"/>
      <c r="B13" s="32">
        <f t="shared" si="0"/>
        <v>6</v>
      </c>
      <c r="C13" s="33" t="s">
        <v>42</v>
      </c>
      <c r="D13" s="36"/>
      <c r="E13" s="36"/>
      <c r="F13" s="35"/>
    </row>
    <row r="14" spans="1:13" x14ac:dyDescent="0.15">
      <c r="A14" s="31"/>
      <c r="B14" s="32">
        <f t="shared" si="0"/>
        <v>7</v>
      </c>
      <c r="C14" s="33" t="s">
        <v>43</v>
      </c>
      <c r="D14" s="37"/>
      <c r="E14" s="37"/>
      <c r="F14" s="35"/>
      <c r="G14" t="s">
        <v>107</v>
      </c>
    </row>
    <row r="15" spans="1:13" x14ac:dyDescent="0.15">
      <c r="A15" s="31"/>
      <c r="B15" s="32">
        <f t="shared" si="0"/>
        <v>8</v>
      </c>
      <c r="C15" s="38" t="s">
        <v>44</v>
      </c>
      <c r="D15" s="36">
        <v>76.8</v>
      </c>
      <c r="E15" s="36">
        <v>364868.86925497855</v>
      </c>
      <c r="F15" s="35">
        <v>4750.896735090867</v>
      </c>
    </row>
    <row r="16" spans="1:13" ht="14" thickBot="1" x14ac:dyDescent="0.2">
      <c r="A16" s="39"/>
      <c r="B16" s="40">
        <f t="shared" si="0"/>
        <v>9</v>
      </c>
      <c r="C16" s="41" t="s">
        <v>45</v>
      </c>
      <c r="D16" s="42">
        <v>228.05</v>
      </c>
      <c r="E16" s="42">
        <v>695935.99947581452</v>
      </c>
      <c r="F16" s="43">
        <v>3051.6816464626813</v>
      </c>
    </row>
    <row r="17" spans="1:7" ht="14" thickBot="1" x14ac:dyDescent="0.2">
      <c r="A17" s="44">
        <v>2</v>
      </c>
      <c r="B17" s="45" t="s">
        <v>46</v>
      </c>
      <c r="C17" s="45"/>
      <c r="D17" s="46">
        <v>54696.45</v>
      </c>
      <c r="E17" s="46">
        <v>185105497.82246321</v>
      </c>
      <c r="F17" s="47">
        <v>3384.2323920924159</v>
      </c>
    </row>
    <row r="18" spans="1:7" x14ac:dyDescent="0.15">
      <c r="A18" s="26"/>
      <c r="B18" s="27">
        <v>1</v>
      </c>
      <c r="C18" s="28" t="s">
        <v>47</v>
      </c>
      <c r="D18" s="29">
        <v>44273.74</v>
      </c>
      <c r="E18" s="29">
        <v>146411923.63648584</v>
      </c>
      <c r="F18" s="30">
        <v>3306.9698569961756</v>
      </c>
    </row>
    <row r="19" spans="1:7" x14ac:dyDescent="0.15">
      <c r="A19" s="31"/>
      <c r="B19" s="32">
        <v>2</v>
      </c>
      <c r="C19" s="33" t="s">
        <v>48</v>
      </c>
      <c r="D19" s="34">
        <v>7875.7100000000009</v>
      </c>
      <c r="E19" s="34">
        <v>25588886.960918687</v>
      </c>
      <c r="F19" s="35">
        <v>3249.0895374409019</v>
      </c>
    </row>
    <row r="20" spans="1:7" x14ac:dyDescent="0.15">
      <c r="A20" s="31"/>
      <c r="B20" s="32">
        <v>3</v>
      </c>
      <c r="C20" s="33" t="s">
        <v>49</v>
      </c>
      <c r="D20" s="34">
        <v>2463</v>
      </c>
      <c r="E20" s="34">
        <v>12690099.509411201</v>
      </c>
      <c r="F20" s="35">
        <v>5152.293751283476</v>
      </c>
    </row>
    <row r="21" spans="1:7" x14ac:dyDescent="0.15">
      <c r="A21" s="31"/>
      <c r="B21" s="32">
        <v>4</v>
      </c>
      <c r="C21" s="33" t="s">
        <v>50</v>
      </c>
      <c r="D21" s="34">
        <v>61.44</v>
      </c>
      <c r="E21" s="34">
        <v>309931.69726154057</v>
      </c>
      <c r="F21" s="35">
        <v>5044.4612184495536</v>
      </c>
    </row>
    <row r="22" spans="1:7" x14ac:dyDescent="0.15">
      <c r="A22" s="31"/>
      <c r="B22" s="32">
        <v>5</v>
      </c>
      <c r="C22" s="33" t="s">
        <v>51</v>
      </c>
      <c r="D22" s="37">
        <v>22.56</v>
      </c>
      <c r="E22" s="37">
        <v>104656.01838595521</v>
      </c>
      <c r="F22" s="35">
        <v>4639.0079071788659</v>
      </c>
    </row>
    <row r="23" spans="1:7" x14ac:dyDescent="0.15">
      <c r="A23" s="48">
        <v>3</v>
      </c>
      <c r="B23" s="49" t="s">
        <v>52</v>
      </c>
      <c r="C23" s="49"/>
      <c r="D23" s="50">
        <v>31739.179999999997</v>
      </c>
      <c r="E23" s="50">
        <v>118653141.2099541</v>
      </c>
      <c r="F23" s="51">
        <v>3738.3808028422318</v>
      </c>
    </row>
    <row r="24" spans="1:7" x14ac:dyDescent="0.15">
      <c r="A24" s="31"/>
      <c r="B24" s="32">
        <v>1</v>
      </c>
      <c r="C24" s="33" t="s">
        <v>53</v>
      </c>
      <c r="D24" s="34">
        <v>27252.14</v>
      </c>
      <c r="E24" s="34">
        <v>102743159.66398241</v>
      </c>
      <c r="F24" s="35">
        <v>3770.0951068056456</v>
      </c>
    </row>
    <row r="25" spans="1:7" x14ac:dyDescent="0.15">
      <c r="A25" s="31"/>
      <c r="B25" s="32">
        <v>2</v>
      </c>
      <c r="C25" s="33" t="s">
        <v>54</v>
      </c>
      <c r="D25" s="34">
        <v>3829.98</v>
      </c>
      <c r="E25" s="34">
        <v>13565538.524481369</v>
      </c>
      <c r="F25" s="35">
        <v>3541.934559575081</v>
      </c>
    </row>
    <row r="26" spans="1:7" x14ac:dyDescent="0.15">
      <c r="A26" s="31"/>
      <c r="B26" s="32">
        <v>3</v>
      </c>
      <c r="C26" s="33" t="s">
        <v>55</v>
      </c>
      <c r="D26" s="34">
        <v>1.02</v>
      </c>
      <c r="E26" s="34">
        <v>4587.3294734937581</v>
      </c>
      <c r="F26" s="35">
        <v>4497.3818367585864</v>
      </c>
      <c r="G26" t="s">
        <v>107</v>
      </c>
    </row>
    <row r="27" spans="1:7" x14ac:dyDescent="0.15">
      <c r="A27" s="31"/>
      <c r="B27" s="32">
        <v>4</v>
      </c>
      <c r="C27" s="33" t="s">
        <v>56</v>
      </c>
      <c r="D27" s="34">
        <v>92.58</v>
      </c>
      <c r="E27" s="34">
        <v>424739.55742510466</v>
      </c>
      <c r="F27" s="35">
        <v>4587.8111625092315</v>
      </c>
    </row>
    <row r="28" spans="1:7" x14ac:dyDescent="0.15">
      <c r="A28" s="31"/>
      <c r="B28" s="32">
        <v>5</v>
      </c>
      <c r="C28" s="33" t="s">
        <v>57</v>
      </c>
      <c r="D28" s="36">
        <v>129.6</v>
      </c>
      <c r="E28" s="36">
        <v>379579.20916171774</v>
      </c>
      <c r="F28" s="35">
        <v>2928.8519225441187</v>
      </c>
    </row>
    <row r="29" spans="1:7" x14ac:dyDescent="0.15">
      <c r="A29" s="31"/>
      <c r="B29" s="32">
        <v>6</v>
      </c>
      <c r="C29" s="33" t="s">
        <v>58</v>
      </c>
      <c r="D29" s="34">
        <v>205.86000000000004</v>
      </c>
      <c r="E29" s="34">
        <v>961407.61704980594</v>
      </c>
      <c r="F29" s="35">
        <v>4670.2011903711536</v>
      </c>
      <c r="G29" t="s">
        <v>107</v>
      </c>
    </row>
    <row r="30" spans="1:7" x14ac:dyDescent="0.15">
      <c r="A30" s="31"/>
      <c r="B30" s="32">
        <v>7</v>
      </c>
      <c r="C30" s="33" t="s">
        <v>45</v>
      </c>
      <c r="D30" s="34">
        <v>228</v>
      </c>
      <c r="E30" s="34">
        <v>574129.30838022369</v>
      </c>
      <c r="F30" s="35">
        <v>2518.111001667648</v>
      </c>
    </row>
    <row r="31" spans="1:7" x14ac:dyDescent="0.15">
      <c r="A31" s="48">
        <v>4</v>
      </c>
      <c r="B31" s="49" t="s">
        <v>59</v>
      </c>
      <c r="C31" s="49"/>
      <c r="D31" s="52">
        <v>16925.349999999999</v>
      </c>
      <c r="E31" s="52">
        <v>71314462.843352616</v>
      </c>
      <c r="F31" s="51">
        <v>4213.4704950475243</v>
      </c>
    </row>
    <row r="32" spans="1:7" x14ac:dyDescent="0.15">
      <c r="A32" s="31"/>
      <c r="B32" s="32">
        <v>1</v>
      </c>
      <c r="C32" s="33" t="s">
        <v>60</v>
      </c>
      <c r="D32" s="34">
        <v>11654.47</v>
      </c>
      <c r="E32" s="34">
        <v>47539053.152208231</v>
      </c>
      <c r="F32" s="35">
        <v>4079.0403297797525</v>
      </c>
    </row>
    <row r="33" spans="1:7" x14ac:dyDescent="0.15">
      <c r="A33" s="31"/>
      <c r="B33" s="32">
        <f>B32+1</f>
        <v>2</v>
      </c>
      <c r="C33" s="33" t="s">
        <v>61</v>
      </c>
      <c r="D33" s="34">
        <v>4475.6399999999994</v>
      </c>
      <c r="E33" s="34">
        <v>20954069.262138322</v>
      </c>
      <c r="F33" s="35">
        <v>4681.8040016932382</v>
      </c>
    </row>
    <row r="34" spans="1:7" x14ac:dyDescent="0.15">
      <c r="A34" s="31"/>
      <c r="B34" s="32">
        <f t="shared" ref="B34:B39" si="1">B33+1</f>
        <v>3</v>
      </c>
      <c r="C34" s="33" t="s">
        <v>62</v>
      </c>
      <c r="D34" s="34">
        <v>703.14</v>
      </c>
      <c r="E34" s="34">
        <v>2392033.160855561</v>
      </c>
      <c r="F34" s="35">
        <v>3401.9301431515219</v>
      </c>
    </row>
    <row r="35" spans="1:7" x14ac:dyDescent="0.15">
      <c r="A35" s="31"/>
      <c r="B35" s="32">
        <f t="shared" si="1"/>
        <v>4</v>
      </c>
      <c r="C35" s="33" t="s">
        <v>63</v>
      </c>
      <c r="D35" s="34">
        <v>18</v>
      </c>
      <c r="E35" s="34">
        <v>115081.16</v>
      </c>
      <c r="F35" s="35">
        <v>6393.3977777777782</v>
      </c>
    </row>
    <row r="36" spans="1:7" x14ac:dyDescent="0.15">
      <c r="A36" s="31"/>
      <c r="B36" s="32">
        <f t="shared" si="1"/>
        <v>5</v>
      </c>
      <c r="C36" s="33" t="s">
        <v>64</v>
      </c>
      <c r="D36" s="37">
        <v>1.8</v>
      </c>
      <c r="E36" s="37">
        <v>9809.9996416755257</v>
      </c>
      <c r="F36" s="35">
        <v>5449.9998009308474</v>
      </c>
    </row>
    <row r="37" spans="1:7" x14ac:dyDescent="0.15">
      <c r="A37" s="31"/>
      <c r="B37" s="32">
        <f t="shared" si="1"/>
        <v>6</v>
      </c>
      <c r="C37" s="33" t="s">
        <v>65</v>
      </c>
      <c r="D37" s="37">
        <v>27.3</v>
      </c>
      <c r="E37" s="37">
        <v>135351.94911883443</v>
      </c>
      <c r="F37" s="35">
        <v>4957.9468541697588</v>
      </c>
    </row>
    <row r="38" spans="1:7" x14ac:dyDescent="0.15">
      <c r="A38" s="31"/>
      <c r="B38" s="32">
        <f t="shared" si="1"/>
        <v>7</v>
      </c>
      <c r="C38" s="53" t="s">
        <v>66</v>
      </c>
      <c r="D38" s="36">
        <v>21</v>
      </c>
      <c r="E38" s="36">
        <v>60597.159679670323</v>
      </c>
      <c r="F38" s="35">
        <v>2885.5790323652536</v>
      </c>
    </row>
    <row r="39" spans="1:7" x14ac:dyDescent="0.15">
      <c r="A39" s="31"/>
      <c r="B39" s="32">
        <f t="shared" si="1"/>
        <v>8</v>
      </c>
      <c r="C39" s="33" t="s">
        <v>45</v>
      </c>
      <c r="D39" s="36">
        <v>24</v>
      </c>
      <c r="E39" s="36">
        <v>108466.99971031114</v>
      </c>
      <c r="F39" s="35">
        <v>4519.4583212629641</v>
      </c>
    </row>
    <row r="40" spans="1:7" x14ac:dyDescent="0.15">
      <c r="A40" s="48">
        <v>5</v>
      </c>
      <c r="B40" s="49" t="s">
        <v>67</v>
      </c>
      <c r="C40" s="49"/>
      <c r="D40" s="52">
        <v>12126.574960000005</v>
      </c>
      <c r="E40" s="52">
        <v>69269276.343329057</v>
      </c>
      <c r="F40" s="51">
        <v>5712.1880309829075</v>
      </c>
    </row>
    <row r="41" spans="1:7" x14ac:dyDescent="0.15">
      <c r="A41" s="31"/>
      <c r="B41" s="32">
        <v>1</v>
      </c>
      <c r="C41" s="33" t="s">
        <v>68</v>
      </c>
      <c r="D41" s="34">
        <v>11221.534960000003</v>
      </c>
      <c r="E41" s="34">
        <v>65536771.742954716</v>
      </c>
      <c r="F41" s="35">
        <v>5840.268018284969</v>
      </c>
      <c r="G41" t="s">
        <v>107</v>
      </c>
    </row>
    <row r="42" spans="1:7" x14ac:dyDescent="0.15">
      <c r="A42" s="31"/>
      <c r="B42" s="32">
        <v>2</v>
      </c>
      <c r="C42" s="33" t="s">
        <v>69</v>
      </c>
      <c r="D42" s="54">
        <v>439.2</v>
      </c>
      <c r="E42" s="54">
        <v>1762313.1068465288</v>
      </c>
      <c r="F42" s="35">
        <v>4012.552611217051</v>
      </c>
      <c r="G42" t="s">
        <v>107</v>
      </c>
    </row>
    <row r="43" spans="1:7" x14ac:dyDescent="0.15">
      <c r="A43" s="31"/>
      <c r="B43" s="32">
        <v>3</v>
      </c>
      <c r="C43" s="33" t="s">
        <v>70</v>
      </c>
      <c r="D43" s="34">
        <v>37.020000000000003</v>
      </c>
      <c r="E43" s="34">
        <v>193671.90864433625</v>
      </c>
      <c r="F43" s="35">
        <v>5231.548045498007</v>
      </c>
      <c r="G43" t="s">
        <v>107</v>
      </c>
    </row>
    <row r="44" spans="1:7" x14ac:dyDescent="0.15">
      <c r="A44" s="31"/>
      <c r="B44" s="32">
        <v>4</v>
      </c>
      <c r="C44" s="33" t="s">
        <v>71</v>
      </c>
      <c r="D44" s="37">
        <v>109.2</v>
      </c>
      <c r="E44" s="37">
        <v>443997.61869470536</v>
      </c>
      <c r="F44" s="35">
        <v>4065.9122591090236</v>
      </c>
    </row>
    <row r="45" spans="1:7" x14ac:dyDescent="0.15">
      <c r="A45" s="31"/>
      <c r="B45" s="32">
        <v>5</v>
      </c>
      <c r="C45" s="33" t="s">
        <v>72</v>
      </c>
      <c r="D45" s="54">
        <v>108</v>
      </c>
      <c r="E45" s="54">
        <v>521828.81869711599</v>
      </c>
      <c r="F45" s="35">
        <v>4831.7483212695925</v>
      </c>
    </row>
    <row r="46" spans="1:7" x14ac:dyDescent="0.15">
      <c r="A46" s="31"/>
      <c r="B46" s="32">
        <v>6</v>
      </c>
      <c r="C46" s="33" t="s">
        <v>73</v>
      </c>
      <c r="D46" s="36">
        <v>192.42</v>
      </c>
      <c r="E46" s="36">
        <v>755666.32796477538</v>
      </c>
      <c r="F46" s="35">
        <v>3927.1714372974507</v>
      </c>
      <c r="G46" t="s">
        <v>107</v>
      </c>
    </row>
    <row r="47" spans="1:7" x14ac:dyDescent="0.15">
      <c r="A47" s="31"/>
      <c r="B47" s="32">
        <v>7</v>
      </c>
      <c r="C47" s="33" t="s">
        <v>45</v>
      </c>
      <c r="D47" s="36">
        <v>19.2</v>
      </c>
      <c r="E47" s="36">
        <v>55026.819526895779</v>
      </c>
      <c r="F47" s="35">
        <v>2865.9801836924885</v>
      </c>
    </row>
    <row r="48" spans="1:7" x14ac:dyDescent="0.15">
      <c r="A48" s="48">
        <v>6</v>
      </c>
      <c r="B48" s="49" t="s">
        <v>74</v>
      </c>
      <c r="C48" s="55"/>
      <c r="D48" s="52">
        <v>5894.82</v>
      </c>
      <c r="E48" s="52">
        <v>29723542.163520712</v>
      </c>
      <c r="F48" s="51">
        <v>5042.3154843609664</v>
      </c>
    </row>
    <row r="49" spans="1:8" x14ac:dyDescent="0.15">
      <c r="A49" s="31"/>
      <c r="B49" s="32">
        <v>1</v>
      </c>
      <c r="C49" s="33" t="s">
        <v>75</v>
      </c>
      <c r="D49" s="34">
        <v>5395.2</v>
      </c>
      <c r="E49" s="34">
        <v>27511423.308352422</v>
      </c>
      <c r="F49" s="35">
        <v>5099.2406784461045</v>
      </c>
      <c r="G49" t="s">
        <v>107</v>
      </c>
    </row>
    <row r="50" spans="1:8" x14ac:dyDescent="0.15">
      <c r="A50" s="31"/>
      <c r="B50" s="32">
        <v>2</v>
      </c>
      <c r="C50" s="33" t="s">
        <v>76</v>
      </c>
      <c r="D50" s="34">
        <v>114</v>
      </c>
      <c r="E50" s="34">
        <v>511643.56948382821</v>
      </c>
      <c r="F50" s="35">
        <v>4488.1014867002477</v>
      </c>
    </row>
    <row r="51" spans="1:8" x14ac:dyDescent="0.15">
      <c r="A51" s="31"/>
      <c r="B51" s="32">
        <v>3</v>
      </c>
      <c r="C51" s="33" t="s">
        <v>77</v>
      </c>
      <c r="D51" s="34">
        <v>133.19999999999999</v>
      </c>
      <c r="E51" s="34">
        <v>461563.87874480832</v>
      </c>
      <c r="F51" s="35">
        <v>3465.1942848709336</v>
      </c>
      <c r="G51" t="s">
        <v>107</v>
      </c>
    </row>
    <row r="52" spans="1:8" x14ac:dyDescent="0.15">
      <c r="A52" s="31"/>
      <c r="B52" s="32">
        <v>4</v>
      </c>
      <c r="C52" s="33" t="s">
        <v>78</v>
      </c>
      <c r="D52" s="34">
        <v>180.42000000000002</v>
      </c>
      <c r="E52" s="34">
        <v>982163.84755903436</v>
      </c>
      <c r="F52" s="35">
        <v>5443.7637044620014</v>
      </c>
    </row>
    <row r="53" spans="1:8" x14ac:dyDescent="0.15">
      <c r="A53" s="31"/>
      <c r="B53" s="32">
        <v>5</v>
      </c>
      <c r="C53" s="33" t="s">
        <v>79</v>
      </c>
      <c r="D53" s="34">
        <v>72</v>
      </c>
      <c r="E53" s="34">
        <v>256747.5593806215</v>
      </c>
      <c r="F53" s="35">
        <v>3565.9383247308542</v>
      </c>
    </row>
    <row r="54" spans="1:8" x14ac:dyDescent="0.15">
      <c r="A54" s="48">
        <v>7</v>
      </c>
      <c r="B54" s="49" t="s">
        <v>80</v>
      </c>
      <c r="C54" s="49"/>
      <c r="D54" s="52">
        <v>1379.1000000000001</v>
      </c>
      <c r="E54" s="52">
        <v>6702090.4544544565</v>
      </c>
      <c r="F54" s="51">
        <v>4859.7566923750674</v>
      </c>
    </row>
    <row r="55" spans="1:8" x14ac:dyDescent="0.15">
      <c r="A55" s="56"/>
      <c r="B55" s="12">
        <v>1</v>
      </c>
      <c r="C55" s="57" t="s">
        <v>81</v>
      </c>
      <c r="D55" s="34">
        <v>1334.4</v>
      </c>
      <c r="E55" s="34">
        <v>6502915.8651303779</v>
      </c>
      <c r="F55" s="35">
        <v>4873.2882682331965</v>
      </c>
      <c r="G55" t="s">
        <v>107</v>
      </c>
      <c r="H55" s="58"/>
    </row>
    <row r="56" spans="1:8" x14ac:dyDescent="0.15">
      <c r="A56" s="56"/>
      <c r="B56" s="12">
        <v>2</v>
      </c>
      <c r="C56" s="57" t="s">
        <v>82</v>
      </c>
      <c r="D56" s="54">
        <v>38.4</v>
      </c>
      <c r="E56" s="54">
        <v>169313.2799127764</v>
      </c>
      <c r="F56" s="35">
        <v>4409.1999977285523</v>
      </c>
    </row>
    <row r="57" spans="1:8" x14ac:dyDescent="0.15">
      <c r="A57" s="56"/>
      <c r="B57" s="12">
        <v>3</v>
      </c>
      <c r="C57" s="33" t="s">
        <v>45</v>
      </c>
      <c r="D57" s="54">
        <v>6.3</v>
      </c>
      <c r="E57" s="54">
        <v>29861.309411302867</v>
      </c>
      <c r="F57" s="35">
        <v>4739.8903827464874</v>
      </c>
    </row>
    <row r="58" spans="1:8" x14ac:dyDescent="0.15">
      <c r="A58" s="48">
        <v>8</v>
      </c>
      <c r="B58" s="49" t="s">
        <v>83</v>
      </c>
      <c r="C58" s="49"/>
      <c r="D58" s="52">
        <v>1093.2</v>
      </c>
      <c r="E58" s="52">
        <v>3816850.1721060779</v>
      </c>
      <c r="F58" s="51">
        <v>3491.4472851317946</v>
      </c>
    </row>
    <row r="59" spans="1:8" x14ac:dyDescent="0.15">
      <c r="A59" s="56"/>
      <c r="B59" s="12">
        <v>1</v>
      </c>
      <c r="C59" s="57" t="s">
        <v>84</v>
      </c>
      <c r="D59" s="5">
        <v>18</v>
      </c>
      <c r="E59" s="5">
        <v>68254.40977986934</v>
      </c>
      <c r="F59" s="35">
        <v>3791.9116544371855</v>
      </c>
    </row>
    <row r="60" spans="1:8" x14ac:dyDescent="0.15">
      <c r="A60" s="56"/>
      <c r="B60" s="12">
        <v>2</v>
      </c>
      <c r="C60" s="57" t="s">
        <v>85</v>
      </c>
      <c r="D60" s="34">
        <v>1036.8</v>
      </c>
      <c r="E60" s="34">
        <v>3634309.3627718668</v>
      </c>
      <c r="F60" s="35">
        <v>3505.3138144018781</v>
      </c>
    </row>
    <row r="61" spans="1:8" x14ac:dyDescent="0.15">
      <c r="A61" s="56"/>
      <c r="B61" s="12">
        <v>3</v>
      </c>
      <c r="C61" s="33" t="s">
        <v>45</v>
      </c>
      <c r="D61" s="36">
        <v>38.4</v>
      </c>
      <c r="E61" s="36">
        <v>114286.39955434183</v>
      </c>
      <c r="F61" s="35">
        <v>2976.2083217276518</v>
      </c>
    </row>
    <row r="62" spans="1:8" x14ac:dyDescent="0.15">
      <c r="A62" s="48">
        <v>9</v>
      </c>
      <c r="B62" s="49" t="s">
        <v>86</v>
      </c>
      <c r="C62" s="49"/>
      <c r="D62" s="59">
        <v>134.69999999999999</v>
      </c>
      <c r="E62" s="59">
        <v>610388.29779496288</v>
      </c>
      <c r="F62" s="51">
        <v>4531.4647200813879</v>
      </c>
    </row>
    <row r="63" spans="1:8" x14ac:dyDescent="0.15">
      <c r="A63" s="56"/>
      <c r="B63" s="60">
        <v>1</v>
      </c>
      <c r="C63" s="57" t="s">
        <v>87</v>
      </c>
      <c r="D63" s="5">
        <v>26.7</v>
      </c>
      <c r="E63" s="5">
        <v>159392.579804518</v>
      </c>
      <c r="F63" s="35">
        <v>5969.759543240375</v>
      </c>
      <c r="G63" t="s">
        <v>107</v>
      </c>
    </row>
    <row r="64" spans="1:8" x14ac:dyDescent="0.15">
      <c r="A64" s="56"/>
      <c r="B64" s="60">
        <v>2</v>
      </c>
      <c r="C64" s="57" t="s">
        <v>88</v>
      </c>
      <c r="D64" s="34">
        <v>108</v>
      </c>
      <c r="E64" s="34">
        <v>450995.71799044486</v>
      </c>
      <c r="F64" s="35">
        <v>4175.8862776893038</v>
      </c>
    </row>
    <row r="65" spans="1:8" x14ac:dyDescent="0.15">
      <c r="A65" s="48">
        <v>10</v>
      </c>
      <c r="B65" s="49" t="s">
        <v>89</v>
      </c>
      <c r="C65" s="49"/>
      <c r="D65" s="59">
        <v>566.40000000000009</v>
      </c>
      <c r="E65" s="59">
        <v>2473471.5613244735</v>
      </c>
      <c r="F65" s="51">
        <v>4367.0048752197617</v>
      </c>
    </row>
    <row r="66" spans="1:8" ht="15" x14ac:dyDescent="0.2">
      <c r="A66" s="61"/>
      <c r="B66" s="62">
        <v>1</v>
      </c>
      <c r="C66" s="12" t="s">
        <v>90</v>
      </c>
      <c r="D66" s="63">
        <v>476.40000000000009</v>
      </c>
      <c r="E66" s="63">
        <v>2205215.8416503998</v>
      </c>
      <c r="F66" s="35">
        <v>4628.916544186397</v>
      </c>
      <c r="G66" t="s">
        <v>107</v>
      </c>
      <c r="H66" s="58"/>
    </row>
    <row r="67" spans="1:8" x14ac:dyDescent="0.15">
      <c r="A67" s="61"/>
      <c r="B67" s="62">
        <v>2</v>
      </c>
      <c r="C67" s="12" t="s">
        <v>91</v>
      </c>
      <c r="D67" s="36"/>
      <c r="E67" s="36"/>
      <c r="F67" s="35"/>
    </row>
    <row r="68" spans="1:8" x14ac:dyDescent="0.15">
      <c r="A68" s="56"/>
      <c r="B68" s="12">
        <v>3</v>
      </c>
      <c r="C68" s="57" t="s">
        <v>92</v>
      </c>
      <c r="D68" s="34">
        <v>90</v>
      </c>
      <c r="E68" s="34">
        <v>268255.71967407345</v>
      </c>
      <c r="F68" s="35">
        <v>2980.6191074897051</v>
      </c>
    </row>
    <row r="69" spans="1:8" x14ac:dyDescent="0.15">
      <c r="A69" s="56"/>
      <c r="B69" s="12">
        <v>4</v>
      </c>
      <c r="C69" s="33" t="s">
        <v>45</v>
      </c>
      <c r="D69" s="34"/>
      <c r="E69" s="34"/>
      <c r="F69" s="35"/>
    </row>
    <row r="70" spans="1:8" x14ac:dyDescent="0.15">
      <c r="A70" s="48">
        <v>11</v>
      </c>
      <c r="B70" s="49" t="s">
        <v>93</v>
      </c>
      <c r="C70" s="49"/>
      <c r="D70" s="59">
        <v>870.54000000000008</v>
      </c>
      <c r="E70" s="59">
        <v>4171518.8442007699</v>
      </c>
      <c r="F70" s="51">
        <v>4791.8749789794492</v>
      </c>
    </row>
    <row r="71" spans="1:8" x14ac:dyDescent="0.15">
      <c r="A71" s="56"/>
      <c r="B71" s="60">
        <v>1</v>
      </c>
      <c r="C71" s="57" t="s">
        <v>94</v>
      </c>
      <c r="D71" s="34">
        <v>870.54000000000008</v>
      </c>
      <c r="E71" s="34">
        <v>4171518.8442007699</v>
      </c>
      <c r="F71" s="35">
        <v>4791.8749789794492</v>
      </c>
      <c r="G71" t="s">
        <v>107</v>
      </c>
      <c r="H71" s="58"/>
    </row>
    <row r="72" spans="1:8" x14ac:dyDescent="0.15">
      <c r="A72" s="56"/>
      <c r="B72" s="60">
        <v>2</v>
      </c>
      <c r="C72" s="57" t="s">
        <v>95</v>
      </c>
      <c r="D72" s="5"/>
      <c r="E72" s="5"/>
      <c r="F72" s="35"/>
    </row>
    <row r="73" spans="1:8" x14ac:dyDescent="0.15">
      <c r="A73" s="48">
        <v>12</v>
      </c>
      <c r="B73" s="49" t="s">
        <v>96</v>
      </c>
      <c r="C73" s="49"/>
      <c r="D73" s="59">
        <v>620.40000000000009</v>
      </c>
      <c r="E73" s="59">
        <v>3260418.4159589713</v>
      </c>
      <c r="F73" s="51">
        <v>5255.3488329448273</v>
      </c>
    </row>
    <row r="74" spans="1:8" ht="15" x14ac:dyDescent="0.2">
      <c r="A74" s="56"/>
      <c r="B74" s="12">
        <v>1</v>
      </c>
      <c r="C74" s="57" t="s">
        <v>97</v>
      </c>
      <c r="D74" s="63">
        <v>620.40000000000009</v>
      </c>
      <c r="E74" s="63">
        <v>3260418.4159589713</v>
      </c>
      <c r="F74" s="35">
        <v>5255.3488329448273</v>
      </c>
      <c r="G74" t="s">
        <v>107</v>
      </c>
      <c r="H74" s="58"/>
    </row>
    <row r="75" spans="1:8" x14ac:dyDescent="0.15">
      <c r="A75" s="48">
        <v>13</v>
      </c>
      <c r="B75" s="49" t="s">
        <v>98</v>
      </c>
      <c r="C75" s="49"/>
      <c r="D75" s="59">
        <v>148.19999999999999</v>
      </c>
      <c r="E75" s="59">
        <v>571115.18751825392</v>
      </c>
      <c r="F75" s="51">
        <v>3853.6787281933466</v>
      </c>
    </row>
    <row r="76" spans="1:8" x14ac:dyDescent="0.15">
      <c r="A76" s="56"/>
      <c r="B76" s="60">
        <v>1</v>
      </c>
      <c r="C76" s="57" t="s">
        <v>99</v>
      </c>
      <c r="D76" s="5">
        <v>36</v>
      </c>
      <c r="E76" s="5">
        <v>121230.95894923358</v>
      </c>
      <c r="F76" s="35">
        <v>3367.5266374787107</v>
      </c>
      <c r="G76" t="s">
        <v>107</v>
      </c>
    </row>
    <row r="77" spans="1:8" x14ac:dyDescent="0.15">
      <c r="A77" s="56"/>
      <c r="B77" s="60">
        <v>2</v>
      </c>
      <c r="C77" s="57" t="s">
        <v>100</v>
      </c>
      <c r="D77" s="54">
        <v>37.200000000000003</v>
      </c>
      <c r="E77" s="54">
        <v>226139.37938570217</v>
      </c>
      <c r="F77" s="35">
        <v>6079.0155748844663</v>
      </c>
    </row>
    <row r="78" spans="1:8" x14ac:dyDescent="0.15">
      <c r="A78" s="56"/>
      <c r="B78" s="60">
        <v>3</v>
      </c>
      <c r="C78" s="57" t="s">
        <v>101</v>
      </c>
      <c r="D78" s="5"/>
      <c r="E78" s="5"/>
      <c r="F78" s="35"/>
    </row>
    <row r="79" spans="1:8" x14ac:dyDescent="0.15">
      <c r="A79" s="56"/>
      <c r="B79" s="60">
        <v>4</v>
      </c>
      <c r="C79" s="57" t="s">
        <v>102</v>
      </c>
      <c r="D79" s="54">
        <v>75</v>
      </c>
      <c r="E79" s="54">
        <v>223744.84918331821</v>
      </c>
      <c r="F79" s="35">
        <v>2983.2646557775761</v>
      </c>
    </row>
    <row r="80" spans="1:8" x14ac:dyDescent="0.15">
      <c r="A80" s="64">
        <v>14</v>
      </c>
      <c r="B80" s="65" t="s">
        <v>103</v>
      </c>
      <c r="C80" s="49"/>
      <c r="D80" s="59">
        <v>2029.26</v>
      </c>
      <c r="E80" s="66">
        <v>10686880.914507285</v>
      </c>
      <c r="F80" s="51">
        <v>5266.393125822854</v>
      </c>
    </row>
    <row r="81" spans="1:6" ht="17" thickBot="1" x14ac:dyDescent="0.25">
      <c r="A81" s="67">
        <v>15</v>
      </c>
      <c r="B81" s="68" t="s">
        <v>104</v>
      </c>
      <c r="C81" s="69"/>
      <c r="D81" s="70">
        <v>1273.136</v>
      </c>
      <c r="E81" s="70">
        <v>5363782.5649310658</v>
      </c>
      <c r="F81" s="71">
        <v>4213.0475965891046</v>
      </c>
    </row>
    <row r="82" spans="1:6" ht="17" thickBot="1" x14ac:dyDescent="0.25">
      <c r="A82" s="149" t="s">
        <v>105</v>
      </c>
      <c r="B82" s="150"/>
      <c r="C82" s="151"/>
      <c r="D82" s="72">
        <v>196117.92844000002</v>
      </c>
      <c r="E82" s="73">
        <v>841649719.18026137</v>
      </c>
      <c r="F82" s="25">
        <v>4291.5490994376596</v>
      </c>
    </row>
    <row r="85" spans="1:6" x14ac:dyDescent="0.15">
      <c r="D85" s="58"/>
    </row>
    <row r="86" spans="1:6" x14ac:dyDescent="0.15">
      <c r="D86" s="58"/>
      <c r="E86" s="58"/>
    </row>
  </sheetData>
  <mergeCells count="8">
    <mergeCell ref="A82:C82"/>
    <mergeCell ref="A1:E1"/>
    <mergeCell ref="A2:E2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opLeftCell="A11" workbookViewId="0">
      <selection activeCell="C45" sqref="C45"/>
    </sheetView>
  </sheetViews>
  <sheetFormatPr baseColWidth="10" defaultRowHeight="13" x14ac:dyDescent="0.15"/>
  <cols>
    <col min="2" max="4" width="27.6640625" style="110" customWidth="1"/>
  </cols>
  <sheetData>
    <row r="1" spans="1:4" x14ac:dyDescent="0.15">
      <c r="A1" s="74" t="s">
        <v>205</v>
      </c>
    </row>
    <row r="2" spans="1:4" x14ac:dyDescent="0.15">
      <c r="A2" s="113" t="s">
        <v>210</v>
      </c>
    </row>
    <row r="3" spans="1:4" x14ac:dyDescent="0.15">
      <c r="A3" s="113"/>
    </row>
    <row r="4" spans="1:4" x14ac:dyDescent="0.15">
      <c r="B4" s="75" t="s">
        <v>207</v>
      </c>
      <c r="C4" s="75" t="s">
        <v>208</v>
      </c>
      <c r="D4" s="75" t="s">
        <v>206</v>
      </c>
    </row>
    <row r="5" spans="1:4" x14ac:dyDescent="0.15">
      <c r="A5" t="s">
        <v>166</v>
      </c>
      <c r="B5" s="111">
        <v>23105.600000000002</v>
      </c>
      <c r="C5" s="112">
        <v>2.6533790972637306</v>
      </c>
      <c r="D5" s="112">
        <v>0.49236754613291595</v>
      </c>
    </row>
    <row r="6" spans="1:4" x14ac:dyDescent="0.15">
      <c r="A6" t="s">
        <v>167</v>
      </c>
      <c r="B6" s="111">
        <v>1371.9891911809864</v>
      </c>
      <c r="C6" s="112">
        <v>1.9924708012664323</v>
      </c>
      <c r="D6" s="112">
        <v>2.3321693266692667</v>
      </c>
    </row>
    <row r="7" spans="1:4" x14ac:dyDescent="0.15">
      <c r="A7" t="s">
        <v>168</v>
      </c>
      <c r="B7" s="111">
        <v>19153.646775996527</v>
      </c>
      <c r="C7" s="112">
        <v>2.5495050108254786</v>
      </c>
      <c r="D7" s="112">
        <v>0.59416532818668433</v>
      </c>
    </row>
    <row r="8" spans="1:4" x14ac:dyDescent="0.15">
      <c r="A8" t="s">
        <v>169</v>
      </c>
      <c r="B8" s="111">
        <v>548.71419604947391</v>
      </c>
      <c r="C8" s="112">
        <v>2.6470949783852564</v>
      </c>
      <c r="D8" s="112">
        <v>6.621575739608752</v>
      </c>
    </row>
    <row r="9" spans="1:4" x14ac:dyDescent="0.15">
      <c r="A9" t="s">
        <v>170</v>
      </c>
      <c r="B9" s="111">
        <v>26436.530628803241</v>
      </c>
      <c r="C9" s="112">
        <v>3.0122138033445953</v>
      </c>
      <c r="D9" s="112">
        <v>0.57356859146823425</v>
      </c>
    </row>
    <row r="10" spans="1:4" x14ac:dyDescent="0.15">
      <c r="A10" t="s">
        <v>171</v>
      </c>
      <c r="B10" s="111">
        <v>7162.2586635016733</v>
      </c>
      <c r="C10" s="112">
        <v>2.2263304285954333</v>
      </c>
      <c r="D10" s="112">
        <v>0.8433148236414888</v>
      </c>
    </row>
    <row r="11" spans="1:4" x14ac:dyDescent="0.15">
      <c r="A11" t="s">
        <v>172</v>
      </c>
      <c r="B11" s="111">
        <v>31098.400000000001</v>
      </c>
      <c r="C11" s="112">
        <v>2.7319089170873285</v>
      </c>
      <c r="D11" s="112">
        <v>0.77372200212447451</v>
      </c>
    </row>
    <row r="12" spans="1:4" x14ac:dyDescent="0.15">
      <c r="A12" t="s">
        <v>173</v>
      </c>
      <c r="B12" s="111">
        <v>21083.583544946672</v>
      </c>
      <c r="C12" s="112">
        <v>2.4723941896176465</v>
      </c>
      <c r="D12" s="112">
        <v>0.38562181784609845</v>
      </c>
    </row>
    <row r="13" spans="1:4" x14ac:dyDescent="0.15">
      <c r="A13" t="s">
        <v>174</v>
      </c>
      <c r="B13" s="111">
        <v>40695.387293799169</v>
      </c>
      <c r="C13" s="112">
        <v>2.2217496893700988</v>
      </c>
      <c r="D13" s="112">
        <v>0.48662397787711975</v>
      </c>
    </row>
    <row r="14" spans="1:4" x14ac:dyDescent="0.15">
      <c r="A14" t="s">
        <v>175</v>
      </c>
      <c r="B14" s="111">
        <v>28683.941871730283</v>
      </c>
      <c r="C14" s="112">
        <v>2.6506704323924386</v>
      </c>
      <c r="D14" s="112">
        <v>0.41851511163532967</v>
      </c>
    </row>
    <row r="15" spans="1:4" x14ac:dyDescent="0.15">
      <c r="A15" t="s">
        <v>176</v>
      </c>
      <c r="B15" s="111">
        <v>8220.7575377337689</v>
      </c>
      <c r="C15" s="112">
        <v>3.9141644512633667</v>
      </c>
      <c r="D15" s="112">
        <v>1.0158402577904173</v>
      </c>
    </row>
    <row r="16" spans="1:4" x14ac:dyDescent="0.15">
      <c r="A16" t="s">
        <v>177</v>
      </c>
      <c r="B16" s="111">
        <v>18542.310549589387</v>
      </c>
      <c r="C16" s="112">
        <v>3.6162322926890647</v>
      </c>
      <c r="D16" s="112">
        <v>0.62776008665923078</v>
      </c>
    </row>
    <row r="17" spans="1:4" x14ac:dyDescent="0.15">
      <c r="A17" t="s">
        <v>178</v>
      </c>
      <c r="B17" s="111">
        <v>25574.521484940902</v>
      </c>
      <c r="C17" s="112">
        <v>3.6452945342786003</v>
      </c>
      <c r="D17" s="112">
        <v>0.49103334183746766</v>
      </c>
    </row>
    <row r="18" spans="1:4" x14ac:dyDescent="0.15">
      <c r="A18" t="s">
        <v>179</v>
      </c>
      <c r="B18" s="111">
        <v>60391.808641904245</v>
      </c>
      <c r="C18" s="112">
        <v>3.7378958167756884</v>
      </c>
      <c r="D18" s="112">
        <v>0.39185601260573455</v>
      </c>
    </row>
    <row r="19" spans="1:4" x14ac:dyDescent="0.15">
      <c r="A19" t="s">
        <v>180</v>
      </c>
      <c r="B19" s="111">
        <v>21490.228364138886</v>
      </c>
      <c r="C19" s="112">
        <v>3.3653292593409447</v>
      </c>
      <c r="D19" s="112">
        <v>0.57460213768246249</v>
      </c>
    </row>
    <row r="20" spans="1:4" x14ac:dyDescent="0.15">
      <c r="A20" t="s">
        <v>181</v>
      </c>
      <c r="B20" s="111">
        <v>11098.556798636644</v>
      </c>
      <c r="C20" s="112">
        <v>3.6082455597483265</v>
      </c>
      <c r="D20" s="112">
        <v>0.58596886976239715</v>
      </c>
    </row>
    <row r="21" spans="1:4" x14ac:dyDescent="0.15">
      <c r="A21" t="s">
        <v>182</v>
      </c>
      <c r="B21" s="111">
        <v>15236.733933413399</v>
      </c>
      <c r="C21" s="112">
        <v>3.2824316575659167</v>
      </c>
      <c r="D21" s="112">
        <v>0.62235372610816364</v>
      </c>
    </row>
    <row r="22" spans="1:4" x14ac:dyDescent="0.15">
      <c r="A22" t="s">
        <v>183</v>
      </c>
      <c r="B22" s="111">
        <v>19221.859511827872</v>
      </c>
      <c r="C22" s="112">
        <v>3.7515447990139519</v>
      </c>
      <c r="D22" s="112">
        <v>0.54573466801329329</v>
      </c>
    </row>
    <row r="23" spans="1:4" x14ac:dyDescent="0.15">
      <c r="A23" t="s">
        <v>184</v>
      </c>
      <c r="B23" s="111">
        <v>34232.888053073089</v>
      </c>
      <c r="C23" s="112">
        <v>3.4873321736453256</v>
      </c>
      <c r="D23" s="112">
        <v>0.40711390245312723</v>
      </c>
    </row>
    <row r="24" spans="1:4" x14ac:dyDescent="0.15">
      <c r="A24" t="s">
        <v>185</v>
      </c>
      <c r="B24" s="111">
        <v>19177.32867299602</v>
      </c>
      <c r="C24" s="112">
        <v>3.3005039516468901</v>
      </c>
      <c r="D24" s="112">
        <v>0.30161072364359054</v>
      </c>
    </row>
    <row r="25" spans="1:4" x14ac:dyDescent="0.15">
      <c r="A25" t="s">
        <v>186</v>
      </c>
      <c r="B25" s="111">
        <v>15981.999999999998</v>
      </c>
      <c r="C25" s="112">
        <v>2.7674141572469413</v>
      </c>
      <c r="D25" s="112">
        <v>0.36014943662189852</v>
      </c>
    </row>
    <row r="26" spans="1:4" x14ac:dyDescent="0.15">
      <c r="A26" t="s">
        <v>187</v>
      </c>
      <c r="B26" s="111">
        <v>26060.800000000003</v>
      </c>
      <c r="C26" s="112">
        <v>3.034361355513</v>
      </c>
      <c r="D26" s="112">
        <v>0.41858055479156148</v>
      </c>
    </row>
    <row r="27" spans="1:4" x14ac:dyDescent="0.15">
      <c r="A27" t="s">
        <v>188</v>
      </c>
      <c r="B27" s="111">
        <v>18786.000000000004</v>
      </c>
      <c r="C27" s="112">
        <v>2.7898134386334421</v>
      </c>
      <c r="D27" s="112">
        <v>0.42666439407150986</v>
      </c>
    </row>
    <row r="28" spans="1:4" x14ac:dyDescent="0.15">
      <c r="A28" t="s">
        <v>189</v>
      </c>
      <c r="B28" s="111">
        <v>17468.084847659644</v>
      </c>
      <c r="C28" s="112">
        <v>2.6328847767598904</v>
      </c>
      <c r="D28" s="112">
        <v>0.37333745711301641</v>
      </c>
    </row>
    <row r="29" spans="1:4" x14ac:dyDescent="0.15">
      <c r="A29" t="s">
        <v>190</v>
      </c>
      <c r="B29" s="111">
        <v>12490.511426498968</v>
      </c>
      <c r="C29" s="112">
        <v>2.9816396740078077</v>
      </c>
      <c r="D29" s="112">
        <v>0.67411305439167102</v>
      </c>
    </row>
    <row r="30" spans="1:4" x14ac:dyDescent="0.15">
      <c r="A30" t="s">
        <v>191</v>
      </c>
      <c r="B30" s="111">
        <v>21534.109977578475</v>
      </c>
      <c r="C30" s="112">
        <v>3.0776129152032294</v>
      </c>
      <c r="D30" s="112">
        <v>0.58022874146276082</v>
      </c>
    </row>
    <row r="31" spans="1:4" x14ac:dyDescent="0.15">
      <c r="A31" t="s">
        <v>192</v>
      </c>
      <c r="B31" s="111">
        <v>40157.599999999999</v>
      </c>
      <c r="C31" s="112">
        <v>3.0696356251945032</v>
      </c>
      <c r="D31" s="112">
        <v>0.32411543593722164</v>
      </c>
    </row>
    <row r="32" spans="1:4" x14ac:dyDescent="0.15">
      <c r="A32" t="s">
        <v>193</v>
      </c>
      <c r="B32" s="111">
        <v>13074.525269476537</v>
      </c>
      <c r="C32" s="112">
        <v>3.1783440928659163</v>
      </c>
      <c r="D32" s="112">
        <v>0.48813411343601876</v>
      </c>
    </row>
    <row r="33" spans="1:4" x14ac:dyDescent="0.15">
      <c r="A33" t="s">
        <v>194</v>
      </c>
      <c r="B33" s="111">
        <v>5233.2285246848232</v>
      </c>
      <c r="C33" s="112">
        <v>2.7676226227611305</v>
      </c>
      <c r="D33" s="112">
        <v>0.64261792590542333</v>
      </c>
    </row>
    <row r="34" spans="1:4" x14ac:dyDescent="0.15">
      <c r="A34" t="s">
        <v>195</v>
      </c>
      <c r="B34" s="111">
        <v>8486.1287963800914</v>
      </c>
      <c r="C34" s="112">
        <v>3.113742909184384</v>
      </c>
      <c r="D34" s="112">
        <v>0.64455939121250794</v>
      </c>
    </row>
    <row r="35" spans="1:4" x14ac:dyDescent="0.15">
      <c r="A35" t="s">
        <v>196</v>
      </c>
      <c r="B35" s="111">
        <v>13864.948526653212</v>
      </c>
      <c r="C35" s="112">
        <v>2.99292387504945</v>
      </c>
      <c r="D35" s="112">
        <v>0.4854147515574837</v>
      </c>
    </row>
    <row r="36" spans="1:4" x14ac:dyDescent="0.15">
      <c r="A36" t="s">
        <v>197</v>
      </c>
      <c r="B36" s="111">
        <v>15878.479402168627</v>
      </c>
      <c r="C36" s="112">
        <v>2.5948259759218968</v>
      </c>
      <c r="D36" s="112">
        <v>0.42079990613528517</v>
      </c>
    </row>
    <row r="37" spans="1:4" x14ac:dyDescent="0.15">
      <c r="A37" t="s">
        <v>198</v>
      </c>
      <c r="B37" s="111">
        <v>12262.775165950799</v>
      </c>
      <c r="C37" s="112">
        <v>2.613448256677374</v>
      </c>
      <c r="D37" s="112">
        <v>0.55725581457444628</v>
      </c>
    </row>
    <row r="38" spans="1:4" x14ac:dyDescent="0.15">
      <c r="A38" t="s">
        <v>199</v>
      </c>
      <c r="B38" s="111">
        <v>5411.2865610337431</v>
      </c>
      <c r="C38" s="112">
        <v>3.0072323284005966</v>
      </c>
      <c r="D38" s="112">
        <v>0.45796697068742392</v>
      </c>
    </row>
    <row r="39" spans="1:4" x14ac:dyDescent="0.15">
      <c r="A39" t="s">
        <v>200</v>
      </c>
      <c r="B39" s="111">
        <v>12743.15371354942</v>
      </c>
      <c r="C39" s="112">
        <v>2.5195459021276974</v>
      </c>
      <c r="D39" s="112">
        <v>0.30355398683882112</v>
      </c>
    </row>
    <row r="40" spans="1:4" x14ac:dyDescent="0.15">
      <c r="A40" t="s">
        <v>201</v>
      </c>
      <c r="B40" s="111">
        <v>23515.200000000001</v>
      </c>
      <c r="C40" s="112">
        <v>2.9643443945042671</v>
      </c>
      <c r="D40" s="112">
        <v>0.56567854136883344</v>
      </c>
    </row>
    <row r="41" spans="1:4" x14ac:dyDescent="0.15">
      <c r="A41" t="s">
        <v>202</v>
      </c>
      <c r="B41" s="111">
        <v>8947.6646330541062</v>
      </c>
      <c r="C41" s="112">
        <v>2.7670634716594673</v>
      </c>
      <c r="D41" s="112">
        <v>0.52335435642676875</v>
      </c>
    </row>
    <row r="42" spans="1:4" x14ac:dyDescent="0.15">
      <c r="A42" t="s">
        <v>203</v>
      </c>
      <c r="B42" s="111">
        <v>18273.886742061641</v>
      </c>
      <c r="C42" s="112">
        <v>2.7520771316723796</v>
      </c>
      <c r="D42" s="112">
        <v>0.39524095472059567</v>
      </c>
    </row>
    <row r="43" spans="1:4" x14ac:dyDescent="0.15">
      <c r="A43" t="s">
        <v>204</v>
      </c>
      <c r="B43" s="111">
        <v>8618.1090696518877</v>
      </c>
      <c r="C43" s="112">
        <v>2.7058976973857014</v>
      </c>
      <c r="D43" s="112">
        <v>0.59409866939103551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>
      <selection activeCell="B15" sqref="B15"/>
    </sheetView>
  </sheetViews>
  <sheetFormatPr baseColWidth="10" defaultRowHeight="13" x14ac:dyDescent="0.15"/>
  <cols>
    <col min="1" max="1" width="32.33203125" customWidth="1"/>
  </cols>
  <sheetData>
    <row r="1" spans="1:11" x14ac:dyDescent="0.15">
      <c r="A1" s="161" t="s">
        <v>165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</row>
    <row r="2" spans="1:11" x14ac:dyDescent="0.15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</row>
    <row r="3" spans="1:11" x14ac:dyDescent="0.15">
      <c r="A3" s="109" t="s">
        <v>164</v>
      </c>
      <c r="B3" s="77">
        <v>2003</v>
      </c>
      <c r="C3" s="77">
        <v>2004</v>
      </c>
      <c r="D3" s="77">
        <v>2005</v>
      </c>
      <c r="E3" s="77">
        <v>2006</v>
      </c>
      <c r="F3" s="77">
        <v>2007</v>
      </c>
      <c r="G3" s="77">
        <v>2008</v>
      </c>
      <c r="H3" s="77">
        <v>2009</v>
      </c>
      <c r="I3" s="77">
        <v>2010</v>
      </c>
      <c r="J3" s="77">
        <v>2011</v>
      </c>
      <c r="K3" s="77">
        <v>2012</v>
      </c>
    </row>
    <row r="4" spans="1:11" x14ac:dyDescent="0.15">
      <c r="A4" s="105" t="s">
        <v>163</v>
      </c>
      <c r="B4" s="106">
        <v>51.9</v>
      </c>
      <c r="C4" s="106">
        <v>62.15</v>
      </c>
      <c r="D4" s="106">
        <v>89.36</v>
      </c>
      <c r="E4" s="106">
        <v>95.75</v>
      </c>
      <c r="F4" s="106">
        <v>107.68</v>
      </c>
      <c r="G4" s="106">
        <v>124.25</v>
      </c>
      <c r="H4" s="106">
        <v>115.67</v>
      </c>
      <c r="I4" s="106">
        <v>147.24</v>
      </c>
      <c r="J4" s="106">
        <v>210.39</v>
      </c>
      <c r="K4" s="106">
        <v>156.34</v>
      </c>
    </row>
    <row r="5" spans="1:11" x14ac:dyDescent="0.15">
      <c r="A5" s="107" t="s">
        <v>216</v>
      </c>
      <c r="B5" s="108">
        <v>65.33</v>
      </c>
      <c r="C5" s="108">
        <v>81.44</v>
      </c>
      <c r="D5" s="108">
        <v>115.73</v>
      </c>
      <c r="E5" s="108">
        <v>116.8</v>
      </c>
      <c r="F5" s="108">
        <v>125.57</v>
      </c>
      <c r="G5" s="108">
        <v>144.32</v>
      </c>
      <c r="H5" s="108">
        <v>177.39</v>
      </c>
      <c r="I5" s="108">
        <v>225.52</v>
      </c>
      <c r="J5" s="108">
        <v>283.87</v>
      </c>
      <c r="K5" s="108">
        <v>202.08</v>
      </c>
    </row>
    <row r="6" spans="1:11" x14ac:dyDescent="0.15">
      <c r="A6" s="105" t="s">
        <v>215</v>
      </c>
      <c r="B6" s="106">
        <v>64.2</v>
      </c>
      <c r="C6" s="106">
        <v>80.47</v>
      </c>
      <c r="D6" s="106">
        <v>114.86</v>
      </c>
      <c r="E6" s="106">
        <v>114.4</v>
      </c>
      <c r="F6" s="106">
        <v>123.55</v>
      </c>
      <c r="G6" s="106">
        <v>139.78</v>
      </c>
      <c r="H6" s="106">
        <v>143.81</v>
      </c>
      <c r="I6" s="106">
        <v>195.99</v>
      </c>
      <c r="J6" s="106">
        <v>271.08</v>
      </c>
      <c r="K6" s="106">
        <v>186.47</v>
      </c>
    </row>
    <row r="7" spans="1:11" x14ac:dyDescent="0.15">
      <c r="A7" s="107" t="s">
        <v>217</v>
      </c>
      <c r="B7" s="108">
        <v>50.31</v>
      </c>
      <c r="C7" s="108">
        <v>68.97</v>
      </c>
      <c r="D7" s="108">
        <v>102.29</v>
      </c>
      <c r="E7" s="108">
        <v>103.92</v>
      </c>
      <c r="F7" s="108">
        <v>111.79</v>
      </c>
      <c r="G7" s="108">
        <v>126.59</v>
      </c>
      <c r="H7" s="108">
        <v>115.3</v>
      </c>
      <c r="I7" s="108">
        <v>153.72</v>
      </c>
      <c r="J7" s="108">
        <v>247.62</v>
      </c>
      <c r="K7" s="108">
        <v>174.97</v>
      </c>
    </row>
    <row r="8" spans="1:11" x14ac:dyDescent="0.15">
      <c r="A8" s="105" t="s">
        <v>214</v>
      </c>
      <c r="B8" s="106">
        <v>36.950000000000003</v>
      </c>
      <c r="C8" s="106">
        <v>35.99</v>
      </c>
      <c r="D8" s="106">
        <v>50.55</v>
      </c>
      <c r="E8" s="106">
        <v>67.55</v>
      </c>
      <c r="F8" s="106">
        <v>86.6</v>
      </c>
      <c r="G8" s="106">
        <v>105.22</v>
      </c>
      <c r="H8" s="106">
        <v>74.56</v>
      </c>
      <c r="I8" s="106">
        <v>78.739999999999995</v>
      </c>
      <c r="J8" s="106">
        <v>109.21</v>
      </c>
      <c r="K8" s="106">
        <v>102.82</v>
      </c>
    </row>
    <row r="11" spans="1:11" x14ac:dyDescent="0.15">
      <c r="E11" s="106"/>
      <c r="F11" s="106"/>
      <c r="G11" s="106"/>
      <c r="H11" s="106"/>
      <c r="I11" s="106"/>
      <c r="J11" s="106"/>
    </row>
    <row r="12" spans="1:11" x14ac:dyDescent="0.15">
      <c r="F12" s="106"/>
      <c r="G12" s="106"/>
      <c r="H12" s="106"/>
      <c r="I12" s="106"/>
      <c r="J12" s="106"/>
    </row>
    <row r="13" spans="1:11" x14ac:dyDescent="0.15">
      <c r="F13" s="106"/>
      <c r="G13" s="106"/>
      <c r="H13" s="106"/>
      <c r="I13" s="106"/>
      <c r="J13" s="106"/>
    </row>
    <row r="15" spans="1:11" x14ac:dyDescent="0.15">
      <c r="I15" s="106"/>
    </row>
    <row r="16" spans="1:11" x14ac:dyDescent="0.15">
      <c r="I16" s="106"/>
    </row>
  </sheetData>
  <mergeCells count="1">
    <mergeCell ref="A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workbookViewId="0">
      <selection activeCell="C5" sqref="C5"/>
    </sheetView>
  </sheetViews>
  <sheetFormatPr baseColWidth="10" defaultRowHeight="13" x14ac:dyDescent="0.15"/>
  <cols>
    <col min="1" max="1" width="41.1640625" bestFit="1" customWidth="1"/>
    <col min="2" max="2" width="13.6640625" style="110" bestFit="1" customWidth="1"/>
    <col min="3" max="3" width="10.83203125" style="110"/>
    <col min="7" max="7" width="14.1640625" bestFit="1" customWidth="1"/>
    <col min="8" max="8" width="14.1640625" style="110" customWidth="1"/>
  </cols>
  <sheetData>
    <row r="1" spans="1:10" x14ac:dyDescent="0.15">
      <c r="B1" s="114"/>
      <c r="C1" s="114"/>
    </row>
    <row r="2" spans="1:10" x14ac:dyDescent="0.15">
      <c r="A2" s="125" t="s">
        <v>211</v>
      </c>
      <c r="B2" s="126" t="s">
        <v>5</v>
      </c>
      <c r="C2" s="126" t="s">
        <v>2</v>
      </c>
      <c r="D2" s="126" t="s">
        <v>212</v>
      </c>
      <c r="G2" s="119"/>
    </row>
    <row r="3" spans="1:10" x14ac:dyDescent="0.15">
      <c r="A3" s="127" t="s">
        <v>220</v>
      </c>
      <c r="B3" s="162">
        <f>'Exports_2007-08'!K10</f>
        <v>525430.6</v>
      </c>
      <c r="C3" s="162">
        <f>'Exports_2010-11'!K10/1000</f>
        <v>841649.71918026137</v>
      </c>
      <c r="D3" s="164">
        <f>(C3-B3)/B3</f>
        <v>0.60182851775336532</v>
      </c>
      <c r="G3" s="119"/>
      <c r="I3" s="110"/>
      <c r="J3" s="110"/>
    </row>
    <row r="4" spans="1:10" x14ac:dyDescent="0.15">
      <c r="A4" s="127" t="s">
        <v>219</v>
      </c>
      <c r="B4" s="162">
        <f>'Exports_2007-08'!J10</f>
        <v>170960.9</v>
      </c>
      <c r="C4" s="162">
        <f>'Exports_2010-11'!J10</f>
        <v>196117.92844000002</v>
      </c>
      <c r="D4" s="164">
        <f>(C4-B4)/B4</f>
        <v>0.14715077213561711</v>
      </c>
      <c r="G4" s="117"/>
      <c r="H4" s="118"/>
      <c r="I4" s="116"/>
      <c r="J4" s="116"/>
    </row>
    <row r="5" spans="1:10" x14ac:dyDescent="0.15">
      <c r="A5" s="127" t="s">
        <v>218</v>
      </c>
      <c r="B5" s="163">
        <f>B3/B4</f>
        <v>3.0733963145959105</v>
      </c>
      <c r="C5" s="163">
        <f>C3/C4</f>
        <v>4.2915490994376588</v>
      </c>
      <c r="D5" s="164">
        <f>(C5-B5)/B5</f>
        <v>0.39635395508760179</v>
      </c>
      <c r="G5" s="117"/>
      <c r="H5" s="118"/>
      <c r="I5" s="116"/>
      <c r="J5" s="116"/>
    </row>
    <row r="6" spans="1:10" x14ac:dyDescent="0.15">
      <c r="A6" s="129"/>
      <c r="B6" s="128"/>
      <c r="C6" s="128"/>
      <c r="D6" s="128"/>
      <c r="G6" s="119"/>
      <c r="I6" s="120"/>
      <c r="J6" s="120"/>
    </row>
    <row r="7" spans="1:10" x14ac:dyDescent="0.15">
      <c r="A7" s="127" t="s">
        <v>221</v>
      </c>
      <c r="B7" s="163">
        <f>(B12*B15+B13*B16)/B18*B19</f>
        <v>2.3485592319647357</v>
      </c>
      <c r="C7" s="165">
        <f>SUMPRODUCT('Farmer_2010-11'!C5:C43,'Farmer_2010-11'!B5:B43)/SUM('Farmer_2010-11'!B5:B43)</f>
        <v>3.0232638799750244</v>
      </c>
      <c r="D7" s="164">
        <f>(C7-B7)/B7</f>
        <v>0.28728449290412428</v>
      </c>
      <c r="G7" s="119"/>
    </row>
    <row r="8" spans="1:10" x14ac:dyDescent="0.15">
      <c r="A8" s="127" t="s">
        <v>213</v>
      </c>
      <c r="B8" s="164">
        <f>B7/B5</f>
        <v>0.7641576261451084</v>
      </c>
      <c r="C8" s="164">
        <f>C7/C5</f>
        <v>0.70446913455357563</v>
      </c>
      <c r="D8" s="164">
        <f>(C8-B8)/B8</f>
        <v>-7.8110182440550999E-2</v>
      </c>
      <c r="G8" s="119"/>
    </row>
    <row r="9" spans="1:10" x14ac:dyDescent="0.15">
      <c r="A9" s="127" t="s">
        <v>222</v>
      </c>
      <c r="B9" s="163">
        <f>B5-B7</f>
        <v>0.72483708263117475</v>
      </c>
      <c r="C9" s="163">
        <f>C5-C7</f>
        <v>1.2682852194626344</v>
      </c>
      <c r="D9" s="164">
        <f>(C9-B9)/B9</f>
        <v>0.7497521165152462</v>
      </c>
    </row>
    <row r="10" spans="1:10" x14ac:dyDescent="0.15">
      <c r="B10" s="124"/>
      <c r="C10" s="123"/>
      <c r="D10" s="121"/>
    </row>
    <row r="12" spans="1:10" x14ac:dyDescent="0.15">
      <c r="A12" s="166" t="s">
        <v>223</v>
      </c>
      <c r="B12" s="115">
        <v>4</v>
      </c>
      <c r="C12" s="115"/>
      <c r="D12" s="106"/>
    </row>
    <row r="13" spans="1:10" x14ac:dyDescent="0.15">
      <c r="A13" s="166" t="s">
        <v>224</v>
      </c>
      <c r="B13" s="115">
        <v>3.3</v>
      </c>
    </row>
    <row r="15" spans="1:10" x14ac:dyDescent="0.15">
      <c r="A15" s="167" t="s">
        <v>225</v>
      </c>
      <c r="B15" s="124">
        <f>'Exports_2007-08'!J8/'Exports_2007-08'!J10</f>
        <v>0.31834121135300525</v>
      </c>
    </row>
    <row r="16" spans="1:10" x14ac:dyDescent="0.15">
      <c r="A16" s="167" t="s">
        <v>226</v>
      </c>
      <c r="B16" s="168">
        <f>1-B15</f>
        <v>0.6816587886469947</v>
      </c>
    </row>
    <row r="18" spans="1:2" x14ac:dyDescent="0.15">
      <c r="A18" s="167" t="s">
        <v>227</v>
      </c>
      <c r="B18" s="110">
        <v>9</v>
      </c>
    </row>
    <row r="19" spans="1:2" x14ac:dyDescent="0.15">
      <c r="A19" s="167" t="s">
        <v>228</v>
      </c>
      <c r="B19" s="1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Exports_Summary</vt:lpstr>
      <vt:lpstr>Exports_2007-08</vt:lpstr>
      <vt:lpstr>Exports_2010-11</vt:lpstr>
      <vt:lpstr>Farmer_2010-11</vt:lpstr>
      <vt:lpstr>Global_Prices</vt:lpstr>
      <vt:lpstr>Worksheet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ccervone</dc:creator>
  <cp:lastModifiedBy>ccervone</cp:lastModifiedBy>
  <dcterms:created xsi:type="dcterms:W3CDTF">2017-03-28T16:54:51Z</dcterms:created>
  <dcterms:modified xsi:type="dcterms:W3CDTF">2018-04-12T19:37:02Z</dcterms:modified>
</cp:coreProperties>
</file>