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ms-office.chartex+xml" PartName="/xl/charts/chartEx1.xml"/>
  <Override ContentType="application/vnd.ms-office.chartex+xml" PartName="/xl/charts/chartEx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office.chartstyle+xml" PartName="/xl/charts/style2.xml"/>
  <Override ContentType="application/vnd.ms-office.chartstyle+xml" PartName="/xl/charts/style1.xml"/>
  <Override ContentType="application/vnd.ms-office.chartcolorstyle+xml" PartName="/xl/charts/colors2.xml"/>
  <Override ContentType="application/vnd.ms-office.chartcolorstyle+xml" PartName="/xl/charts/colors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icWaterfall" sheetId="1" r:id="rId5"/>
    <sheet state="visible" name="RwandaWaterfall" sheetId="2" r:id="rId6"/>
    <sheet state="visible" name="Production" sheetId="3" r:id="rId7"/>
    <sheet state="visible" name="YieldComps" sheetId="4" r:id="rId8"/>
    <sheet state="visible" name="Sheet2" sheetId="5" r:id="rId9"/>
  </sheets>
  <definedNames/>
  <calcPr/>
</workbook>
</file>

<file path=xl/sharedStrings.xml><?xml version="1.0" encoding="utf-8"?>
<sst xmlns="http://schemas.openxmlformats.org/spreadsheetml/2006/main" count="82" uniqueCount="65">
  <si>
    <t>Category</t>
  </si>
  <si>
    <t>Value</t>
  </si>
  <si>
    <t>Export Price</t>
  </si>
  <si>
    <t>Tax</t>
  </si>
  <si>
    <t>Exporter</t>
  </si>
  <si>
    <t>Internal Price</t>
  </si>
  <si>
    <t>Coop / Middleman</t>
  </si>
  <si>
    <t>Farmer Price</t>
  </si>
  <si>
    <t>Finance</t>
  </si>
  <si>
    <t>Inputs</t>
  </si>
  <si>
    <t>Labor</t>
  </si>
  <si>
    <t>Net Income</t>
  </si>
  <si>
    <t>FOB Mombasa</t>
  </si>
  <si>
    <t>Coffee Washing Station</t>
  </si>
  <si>
    <t>500 RWF / kg cherry</t>
  </si>
  <si>
    <t>1 dollar / 1310 RWF</t>
  </si>
  <si>
    <t>7 kg cherry / 1 kg green</t>
  </si>
  <si>
    <t>C price</t>
  </si>
  <si>
    <t>per lb</t>
  </si>
  <si>
    <t>Export price</t>
  </si>
  <si>
    <t>per kg</t>
  </si>
  <si>
    <t>Fertilizer</t>
  </si>
  <si>
    <t>RWF / tree</t>
  </si>
  <si>
    <t>Density</t>
  </si>
  <si>
    <t>trees</t>
  </si>
  <si>
    <t>Farm size</t>
  </si>
  <si>
    <t>Cost per ha</t>
  </si>
  <si>
    <t>Yield</t>
  </si>
  <si>
    <t>Fertilizer cost</t>
  </si>
  <si>
    <t>USDA data</t>
  </si>
  <si>
    <t>Country_Name</t>
  </si>
  <si>
    <t>Rwanda</t>
  </si>
  <si>
    <t>Country A</t>
  </si>
  <si>
    <t>Country B</t>
  </si>
  <si>
    <t>Country C</t>
  </si>
  <si>
    <t>Country D</t>
  </si>
  <si>
    <t>Country E</t>
  </si>
  <si>
    <t>Country F</t>
  </si>
  <si>
    <t>Country G</t>
  </si>
  <si>
    <t>Country H</t>
  </si>
  <si>
    <t>Country I</t>
  </si>
  <si>
    <t>Assumptions</t>
  </si>
  <si>
    <t>Ex rate: $1=RWF1200</t>
  </si>
  <si>
    <t>5 kg of coffee cherries changes into 1 kg of parchment coffee</t>
  </si>
  <si>
    <t>Revenue</t>
  </si>
  <si>
    <t>Units</t>
  </si>
  <si>
    <t>Price</t>
  </si>
  <si>
    <t>Cost Beakdown</t>
  </si>
  <si>
    <t>Est. Amount</t>
  </si>
  <si>
    <t>Coffee Cherry Price</t>
  </si>
  <si>
    <t>Farmer</t>
  </si>
  <si>
    <t>Cost of buying cherries to make 1 kg of parchment coffee</t>
  </si>
  <si>
    <t>Middleman</t>
  </si>
  <si>
    <t>Processing the Coffee Cherries</t>
  </si>
  <si>
    <t>Dry milling + Packing &amp; Transport to NAEB WH+Export Fees</t>
  </si>
  <si>
    <t>1 kg of parchment coffee changes into 0.8 kg of green beans</t>
  </si>
  <si>
    <t>separate out the fees and services with joel</t>
  </si>
  <si>
    <t>Transport to port + Insurance</t>
  </si>
  <si>
    <t>Certification (if applicable)</t>
  </si>
  <si>
    <t>- Organic</t>
  </si>
  <si>
    <t>- Fairtrade</t>
  </si>
  <si>
    <t>- Rainforest</t>
  </si>
  <si>
    <t>Total Cost</t>
  </si>
  <si>
    <t>Gross Profit Margin</t>
  </si>
  <si>
    <t>Price ($/lb)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</si>
</sst>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_(&quot;$&quot;* #,##0.00_);_(&quot;$&quot;* \(#,##0.00\);_(&quot;$&quot;* &quot;-&quot;??_);_(@_)"/>
    <numFmt numFmtId="166" formatCode="&quot;$&quot;#,##0_);\(&quot;$&quot;#,##0\)"/>
    <numFmt numFmtId="167" formatCode="&quot;$&quot;#,##0.00_);\(&quot;$&quot;#,##0.00\)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15.0"/>
      <color theme="1"/>
      <name val="Arial"/>
      <scheme val="minor"/>
    </font>
    <font>
      <color theme="1"/>
      <name val="Arial"/>
    </font>
    <font>
      <b/>
      <sz val="9.0"/>
      <color theme="1"/>
      <name val="Calibri"/>
    </font>
    <font>
      <color theme="1"/>
      <name val="Calibri"/>
    </font>
    <font>
      <b/>
      <color theme="1"/>
      <name val="Calibri"/>
    </font>
    <font>
      <b/>
      <color rgb="FF0000FF"/>
      <name val="Calibri"/>
    </font>
    <font>
      <i/>
      <color rgb="FF0000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</fills>
  <borders count="10">
    <border/>
    <border>
      <right style="thin">
        <color rgb="FFFFFFFF"/>
      </right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E7E6E6"/>
      </bottom>
    </border>
    <border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right style="thin">
        <color rgb="FFE7E6E6"/>
      </right>
      <bottom style="thin">
        <color rgb="FFE7E6E6"/>
      </bottom>
    </border>
    <border>
      <right style="thin">
        <color rgb="FFE7E6E6"/>
      </right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Font="1" applyNumberFormat="1"/>
    <xf borderId="0" fillId="0" fontId="1" numFmtId="164" xfId="0" applyFont="1" applyNumberFormat="1"/>
    <xf borderId="0" fillId="0" fontId="2" numFmtId="0" xfId="0" applyFont="1"/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10" xfId="0" applyFont="1" applyNumberFormat="1"/>
    <xf borderId="0" fillId="0" fontId="1" numFmtId="0" xfId="0" applyFont="1"/>
    <xf borderId="0" fillId="0" fontId="1" numFmtId="2" xfId="0" applyFont="1" applyNumberFormat="1"/>
    <xf borderId="0" fillId="0" fontId="1" numFmtId="3" xfId="0" applyAlignment="1" applyFont="1" applyNumberFormat="1">
      <alignment readingOrder="0"/>
    </xf>
    <xf borderId="1" fillId="2" fontId="3" numFmtId="0" xfId="0" applyAlignment="1" applyBorder="1" applyFill="1" applyFont="1">
      <alignment vertical="bottom"/>
    </xf>
    <xf borderId="2" fillId="3" fontId="4" numFmtId="0" xfId="0" applyAlignment="1" applyBorder="1" applyFill="1" applyFont="1">
      <alignment horizontal="center" vertical="bottom"/>
    </xf>
    <xf borderId="2" fillId="3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3" fillId="0" fontId="5" numFmtId="0" xfId="0" applyAlignment="1" applyBorder="1" applyFont="1">
      <alignment vertical="bottom"/>
    </xf>
    <xf borderId="4" fillId="2" fontId="3" numFmtId="0" xfId="0" applyAlignment="1" applyBorder="1" applyFont="1">
      <alignment vertical="bottom"/>
    </xf>
    <xf borderId="4" fillId="3" fontId="6" numFmtId="0" xfId="0" applyAlignment="1" applyBorder="1" applyFont="1">
      <alignment vertical="bottom"/>
    </xf>
    <xf borderId="5" fillId="4" fontId="6" numFmtId="166" xfId="0" applyAlignment="1" applyBorder="1" applyFill="1" applyFont="1" applyNumberFormat="1">
      <alignment horizontal="center"/>
    </xf>
    <xf borderId="5" fillId="0" fontId="3" numFmtId="0" xfId="0" applyAlignment="1" applyBorder="1" applyFont="1">
      <alignment vertical="bottom"/>
    </xf>
    <xf borderId="6" fillId="2" fontId="3" numFmtId="0" xfId="0" applyAlignment="1" applyBorder="1" applyFont="1">
      <alignment vertical="bottom"/>
    </xf>
    <xf borderId="7" fillId="2" fontId="5" numFmtId="0" xfId="0" applyAlignment="1" applyBorder="1" applyFont="1">
      <alignment vertical="bottom"/>
    </xf>
    <xf borderId="7" fillId="2" fontId="7" numFmtId="3" xfId="0" applyAlignment="1" applyBorder="1" applyFont="1" applyNumberFormat="1">
      <alignment horizontal="center"/>
    </xf>
    <xf borderId="7" fillId="2" fontId="3" numFmtId="0" xfId="0" applyAlignment="1" applyBorder="1" applyFont="1">
      <alignment vertical="bottom"/>
    </xf>
    <xf borderId="8" fillId="2" fontId="5" numFmtId="0" xfId="0" applyAlignment="1" applyBorder="1" applyFont="1">
      <alignment vertical="bottom"/>
    </xf>
    <xf borderId="8" fillId="2" fontId="7" numFmtId="166" xfId="0" applyAlignment="1" applyBorder="1" applyFont="1" applyNumberFormat="1">
      <alignment horizontal="center"/>
    </xf>
    <xf borderId="0" fillId="3" fontId="6" numFmtId="0" xfId="0" applyAlignment="1" applyFont="1">
      <alignment vertical="bottom"/>
    </xf>
    <xf borderId="0" fillId="4" fontId="5" numFmtId="166" xfId="0" applyAlignment="1" applyFont="1" applyNumberFormat="1">
      <alignment horizontal="center"/>
    </xf>
    <xf borderId="0" fillId="0" fontId="5" numFmtId="0" xfId="0" applyAlignment="1" applyFont="1">
      <alignment vertical="bottom"/>
    </xf>
    <xf borderId="0" fillId="2" fontId="7" numFmtId="167" xfId="0" applyAlignment="1" applyFont="1" applyNumberFormat="1">
      <alignment horizontal="center"/>
    </xf>
    <xf borderId="0" fillId="0" fontId="3" numFmtId="0" xfId="0" applyAlignment="1" applyFont="1">
      <alignment readingOrder="0" vertical="bottom"/>
    </xf>
    <xf borderId="0" fillId="5" fontId="1" numFmtId="0" xfId="0" applyAlignment="1" applyFill="1" applyFont="1">
      <alignment readingOrder="0"/>
    </xf>
    <xf borderId="0" fillId="2" fontId="8" numFmtId="167" xfId="0" applyAlignment="1" applyFont="1" applyNumberFormat="1">
      <alignment horizontal="center"/>
    </xf>
    <xf borderId="0" fillId="0" fontId="6" numFmtId="0" xfId="0" applyAlignment="1" applyFont="1">
      <alignment vertical="bottom"/>
    </xf>
    <xf borderId="0" fillId="0" fontId="7" numFmtId="167" xfId="0" applyAlignment="1" applyFont="1" applyNumberFormat="1">
      <alignment horizontal="center" vertical="bottom"/>
    </xf>
    <xf borderId="9" fillId="2" fontId="7" numFmtId="167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_rels/chartEx1.xml.rels><?xml version="1.0" encoding="UTF-8" standalone="yes"?>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Ex2.xml.rels><?xml version="1.0" encoding="UTF-8" standalone="yes"?>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stacked"/>
        <c:ser>
          <c:idx val="0"/>
          <c:order val="0"/>
          <c:tx>
            <c:strRef>
              <c:f>Production!$A$3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Production!$B$2:$AR$2</c:f>
            </c:strRef>
          </c:cat>
          <c:val>
            <c:numRef>
              <c:f>Production!$B$3:$AR$3</c:f>
              <c:numCache/>
            </c:numRef>
          </c:val>
        </c:ser>
        <c:axId val="1625224608"/>
        <c:axId val="61720346"/>
      </c:areaChart>
      <c:catAx>
        <c:axId val="1625224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720346"/>
      </c:catAx>
      <c:valAx>
        <c:axId val="617203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52246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FFFFFF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dPt>
          <c:dPt>
            <c:idx val="2"/>
            <c:spPr>
              <a:solidFill>
                <a:srgbClr val="CCCCCC"/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dPt>
          <c:dPt>
            <c:idx val="5"/>
            <c:spPr>
              <a:solidFill>
                <a:srgbClr val="D9D9D9"/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dPt>
          <c:dPt>
            <c:idx val="8"/>
            <c:spPr>
              <a:solidFill>
                <a:srgbClr val="D9D9D9"/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dPt>
          <c:cat>
            <c:strRef>
              <c:f>YieldComps!$A$2:$A$10</c:f>
            </c:strRef>
          </c:cat>
          <c:val>
            <c:numRef>
              <c:f>YieldComps!$B$2:$B$10</c:f>
              <c:numCache/>
            </c:numRef>
          </c:val>
        </c:ser>
        <c:axId val="1170400833"/>
        <c:axId val="876984388"/>
      </c:barChart>
      <c:catAx>
        <c:axId val="11704008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solidFill/>
          </a:ln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876984388"/>
      </c:catAx>
      <c:valAx>
        <c:axId val="87698438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800">
                <a:solidFill>
                  <a:srgbClr val="FFFFFF"/>
                </a:solidFill>
                <a:latin typeface="+mn-lt"/>
              </a:defRPr>
            </a:pPr>
          </a:p>
        </c:txPr>
        <c:crossAx val="11704008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Ex1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>GenericWaterfall!$B$2:$B$11</cx:f>
      </cx:numDim>
      <cx:strDim type="cat">
        <cx:f>GenericWaterfall!$A$2:$A$11</cx:f>
      </cx:strDim>
    </cx:data>
  </cx:chartData>
  <cx:chart>
    <cx:plotArea>
      <cx:plotAreaRegion>
        <cx:series layoutId="waterfall" uniqueId="{30D9228C-AB5E-4828-B6AA-3F87C8416288}">
          <cx:tx>
            <cx:txData>
              <cx:f>GenericWaterfall!$B$1</cx:f>
            </cx:txData>
          </cx:tx>
          <cx:dataLabels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</cx:chart>
</cx:chartSpace>
</file>

<file path=xl/charts/chartEx2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>RwandaWaterfall!$B$2:$B$11</cx:f>
      </cx:numDim>
      <cx:strDim type="cat">
        <cx:f>RwandaWaterfall!$A$2:$A$11</cx:f>
      </cx:strDim>
    </cx:data>
  </cx:chartData>
  <cx:chart>
    <cx:plotArea>
      <cx:plotAreaRegion>
        <cx:series layoutId="waterfall" uniqueId="{511FFB2F-234A-44DB-926C-424B3B0D7810}">
          <cx:tx>
            <cx:txData>
              <cx:f>RwandaWaterfall!$B$1</cx:f>
            </cx:txData>
          </cx:tx>
          <cx:dataLabels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</cx:chart>
</cx:chartSpace>
</file>

<file path=xl/charts/colors1.xml><?xml version="1.0" encoding="utf-8"?>
<cs:colorStyle xmlns:a="http://schemas.openxmlformats.org/drawingml/2006/main" xmlns:cs="http://schemas.microsoft.com/office/drawing/2012/chartStyle" meth="cycle" id="10">
  <a:srgbClr val="B7B7B7"/>
  <a:srgbClr val="6FA8DC"/>
  <a:srgbClr val="BDBDBD"/>
</cs:colorStyle>
</file>

<file path=xl/charts/colors2.xml><?xml version="1.0" encoding="utf-8"?>
<cs:colorStyle xmlns:a="http://schemas.openxmlformats.org/drawingml/2006/main" xmlns:cs="http://schemas.microsoft.com/office/drawing/2012/chartStyle" meth="cycle" id="10">
  <a:srgbClr val="B7B7B7"/>
  <a:srgbClr val="6FA8DC"/>
  <a:srgbClr val="BDBDBD"/>
</cs:colorStyle>
</file>

<file path=xl/charts/style1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 standalone="yes"?>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533400</xdr:colOff>
      <xdr:row>0</xdr:row>
      <xdr:rowOff>95250</xdr:rowOff>
    </xdr:from>
    <xdr:ext cx="9010650" cy="5353050"/>
    <mc:AlternateContent>
      <mc:Choice Requires="cx1">
        <xdr:graphicFrame>
          <xdr:nvGraphicFramePr>
            <xdr:cNvPr id="1" name="Chart 1" title="Char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1"/>
            </a:graphicData>
          </a:graphic>
        </xdr:graphicFrame>
      </mc:Choice>
      <mc:Fallback>
        <xdr:sp>
          <xdr:nvSpPr>
            <xdr:cNvPr id="2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485775</xdr:colOff>
      <xdr:row>0</xdr:row>
      <xdr:rowOff>57150</xdr:rowOff>
    </xdr:from>
    <xdr:ext cx="9010650" cy="5353050"/>
    <mc:AlternateContent>
      <mc:Choice Requires="cx1">
        <xdr:graphicFrame>
          <xdr:nvGraphicFramePr>
            <xdr:cNvPr id="3" name="Chart 3" title="Char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1"/>
            </a:graphicData>
          </a:graphic>
        </xdr:graphicFrame>
      </mc:Choice>
      <mc:Fallback>
        <xdr:sp>
          <xdr:nvSpPr>
            <xdr:cNvPr id="4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381000</xdr:colOff>
      <xdr:row>6</xdr:row>
      <xdr:rowOff>161925</xdr:rowOff>
    </xdr:from>
    <xdr:ext cx="7562850" cy="4676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3</xdr:row>
      <xdr:rowOff>9525</xdr:rowOff>
    </xdr:from>
    <xdr:ext cx="7505700" cy="49053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</cols>
  <sheetData>
    <row r="1">
      <c r="A1" s="1" t="s">
        <v>0</v>
      </c>
      <c r="B1" s="1" t="s">
        <v>1</v>
      </c>
    </row>
    <row r="2">
      <c r="A2" s="1" t="s">
        <v>2</v>
      </c>
      <c r="B2" s="2">
        <v>5.0</v>
      </c>
    </row>
    <row r="3">
      <c r="A3" s="1" t="s">
        <v>3</v>
      </c>
      <c r="B3" s="2">
        <v>-0.15</v>
      </c>
      <c r="C3" s="3"/>
    </row>
    <row r="4">
      <c r="A4" s="1" t="s">
        <v>4</v>
      </c>
      <c r="B4" s="2">
        <v>-0.5</v>
      </c>
      <c r="C4" s="3"/>
    </row>
    <row r="5">
      <c r="A5" s="1" t="s">
        <v>5</v>
      </c>
      <c r="C5" s="4">
        <f>sum(B2:B4)</f>
        <v>4.35</v>
      </c>
    </row>
    <row r="6">
      <c r="A6" s="1" t="s">
        <v>6</v>
      </c>
      <c r="B6" s="4">
        <f>-C5*0.2</f>
        <v>-0.87</v>
      </c>
      <c r="C6" s="3"/>
    </row>
    <row r="7">
      <c r="A7" s="1" t="s">
        <v>7</v>
      </c>
      <c r="C7" s="4">
        <f>C5+B6</f>
        <v>3.48</v>
      </c>
    </row>
    <row r="8">
      <c r="A8" s="1" t="s">
        <v>8</v>
      </c>
      <c r="B8" s="4">
        <f>C7*-0.05</f>
        <v>-0.174</v>
      </c>
      <c r="C8" s="3"/>
    </row>
    <row r="9">
      <c r="A9" s="1" t="s">
        <v>9</v>
      </c>
      <c r="B9" s="4">
        <f>C7*-0.15</f>
        <v>-0.522</v>
      </c>
      <c r="C9" s="3"/>
    </row>
    <row r="10">
      <c r="A10" s="1" t="s">
        <v>10</v>
      </c>
      <c r="B10" s="4">
        <f>C7*-0.3</f>
        <v>-1.044</v>
      </c>
      <c r="C10" s="3"/>
    </row>
    <row r="11">
      <c r="A11" s="1" t="s">
        <v>11</v>
      </c>
      <c r="B11" s="4">
        <f>-sum(B2:B10)</f>
        <v>-1.74</v>
      </c>
      <c r="C11" s="3"/>
    </row>
    <row r="16">
      <c r="C16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</cols>
  <sheetData>
    <row r="1">
      <c r="A1" s="1" t="s">
        <v>0</v>
      </c>
      <c r="B1" s="1" t="s">
        <v>1</v>
      </c>
    </row>
    <row r="2">
      <c r="A2" s="1" t="s">
        <v>2</v>
      </c>
      <c r="B2" s="6">
        <v>4.92</v>
      </c>
      <c r="D2" s="1" t="s">
        <v>12</v>
      </c>
    </row>
    <row r="3">
      <c r="A3" s="1" t="s">
        <v>3</v>
      </c>
      <c r="B3" s="6">
        <f>-216/1310</f>
        <v>-0.1648854962</v>
      </c>
      <c r="C3" s="3"/>
    </row>
    <row r="4">
      <c r="A4" s="1" t="s">
        <v>4</v>
      </c>
      <c r="B4" s="6">
        <f>-0.9</f>
        <v>-0.9</v>
      </c>
      <c r="C4" s="3"/>
    </row>
    <row r="5">
      <c r="A5" s="1" t="s">
        <v>5</v>
      </c>
      <c r="B5" s="7"/>
      <c r="C5" s="4">
        <f>sum(B2:B4)</f>
        <v>3.855114504</v>
      </c>
    </row>
    <row r="6">
      <c r="A6" s="1" t="s">
        <v>13</v>
      </c>
      <c r="B6" s="6">
        <f>C7-C5</f>
        <v>-1.183358779</v>
      </c>
      <c r="C6" s="3"/>
    </row>
    <row r="7">
      <c r="A7" s="1" t="s">
        <v>7</v>
      </c>
      <c r="B7" s="7"/>
      <c r="C7" s="4">
        <f>E7/E8*7</f>
        <v>2.671755725</v>
      </c>
      <c r="D7" s="8">
        <f>C7/B2</f>
        <v>0.5430397815</v>
      </c>
      <c r="E7" s="1">
        <v>500.0</v>
      </c>
    </row>
    <row r="8">
      <c r="A8" s="1" t="s">
        <v>8</v>
      </c>
      <c r="B8" s="6">
        <v>-0.01</v>
      </c>
      <c r="C8" s="3"/>
      <c r="E8" s="1">
        <v>1310.0</v>
      </c>
    </row>
    <row r="9">
      <c r="A9" s="1" t="s">
        <v>9</v>
      </c>
      <c r="B9" s="6">
        <f>-B40*10%</f>
        <v>-0.04510756419</v>
      </c>
      <c r="C9" s="3"/>
    </row>
    <row r="10">
      <c r="A10" s="1" t="s">
        <v>10</v>
      </c>
      <c r="B10" s="6">
        <f>B9/0.2</f>
        <v>-0.225537821</v>
      </c>
      <c r="C10" s="3"/>
    </row>
    <row r="11">
      <c r="A11" s="1" t="s">
        <v>11</v>
      </c>
      <c r="B11" s="7">
        <f>-sum(B2:B10)</f>
        <v>-2.39111034</v>
      </c>
      <c r="C11" s="3"/>
    </row>
    <row r="15">
      <c r="B15" s="1" t="s">
        <v>14</v>
      </c>
      <c r="C15" s="1" t="s">
        <v>15</v>
      </c>
      <c r="D15" s="1" t="s">
        <v>16</v>
      </c>
    </row>
    <row r="16">
      <c r="C16" s="5"/>
    </row>
    <row r="20">
      <c r="A20" s="1" t="s">
        <v>17</v>
      </c>
      <c r="B20" s="1">
        <v>183.13</v>
      </c>
      <c r="C20" s="1" t="s">
        <v>18</v>
      </c>
    </row>
    <row r="21">
      <c r="A21" s="1" t="s">
        <v>19</v>
      </c>
      <c r="B21" s="9">
        <f>B20+40</f>
        <v>223.13</v>
      </c>
      <c r="C21" s="1" t="s">
        <v>18</v>
      </c>
    </row>
    <row r="22">
      <c r="B22" s="10">
        <f>B21/100*2.2046</f>
        <v>4.91912398</v>
      </c>
      <c r="C22" s="1" t="s">
        <v>20</v>
      </c>
    </row>
    <row r="26">
      <c r="A26" s="1">
        <v>34.0</v>
      </c>
    </row>
    <row r="27">
      <c r="A27" s="1">
        <v>333.0</v>
      </c>
    </row>
    <row r="28">
      <c r="A28" s="1">
        <v>216.0</v>
      </c>
      <c r="B28" s="9">
        <f>A28/1310</f>
        <v>0.1648854962</v>
      </c>
    </row>
    <row r="34">
      <c r="A34" s="1" t="s">
        <v>21</v>
      </c>
      <c r="B34" s="1">
        <v>130.0</v>
      </c>
      <c r="C34" s="1" t="s">
        <v>22</v>
      </c>
    </row>
    <row r="35">
      <c r="A35" s="1" t="s">
        <v>23</v>
      </c>
      <c r="B35" s="1">
        <v>2500.0</v>
      </c>
      <c r="C35" s="1" t="s">
        <v>24</v>
      </c>
    </row>
    <row r="36">
      <c r="A36" s="1" t="s">
        <v>25</v>
      </c>
      <c r="B36" s="1">
        <v>100.0</v>
      </c>
    </row>
    <row r="38">
      <c r="A38" s="1" t="s">
        <v>26</v>
      </c>
      <c r="B38" s="9">
        <f>B34*B35</f>
        <v>325000</v>
      </c>
    </row>
    <row r="39">
      <c r="A39" s="1" t="s">
        <v>27</v>
      </c>
      <c r="B39" s="1">
        <v>550.0</v>
      </c>
    </row>
    <row r="40">
      <c r="A40" s="1" t="s">
        <v>28</v>
      </c>
      <c r="B40" s="9">
        <f>B38/1310/B39</f>
        <v>0.4510756419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</v>
      </c>
    </row>
    <row r="2">
      <c r="A2" s="1" t="s">
        <v>30</v>
      </c>
      <c r="B2" s="1">
        <v>1980.0</v>
      </c>
      <c r="C2" s="1">
        <v>1981.0</v>
      </c>
      <c r="D2" s="1">
        <v>1982.0</v>
      </c>
      <c r="E2" s="1">
        <v>1983.0</v>
      </c>
      <c r="F2" s="1">
        <v>1984.0</v>
      </c>
      <c r="G2" s="1">
        <v>1985.0</v>
      </c>
      <c r="H2" s="1">
        <v>1986.0</v>
      </c>
      <c r="I2" s="1">
        <v>1987.0</v>
      </c>
      <c r="J2" s="1">
        <v>1988.0</v>
      </c>
      <c r="K2" s="1">
        <v>1989.0</v>
      </c>
      <c r="L2" s="1">
        <v>1990.0</v>
      </c>
      <c r="M2" s="1">
        <v>1991.0</v>
      </c>
      <c r="N2" s="1">
        <v>1992.0</v>
      </c>
      <c r="O2" s="1">
        <v>1993.0</v>
      </c>
      <c r="P2" s="1">
        <v>1994.0</v>
      </c>
      <c r="Q2" s="1">
        <v>1995.0</v>
      </c>
      <c r="R2" s="1">
        <v>1996.0</v>
      </c>
      <c r="S2" s="1">
        <v>1997.0</v>
      </c>
      <c r="T2" s="1">
        <v>1998.0</v>
      </c>
      <c r="U2" s="1">
        <v>1999.0</v>
      </c>
      <c r="V2" s="1">
        <v>2000.0</v>
      </c>
      <c r="W2" s="1">
        <v>2001.0</v>
      </c>
      <c r="X2" s="1">
        <v>2002.0</v>
      </c>
      <c r="Y2" s="1">
        <v>2003.0</v>
      </c>
      <c r="Z2" s="1">
        <v>2004.0</v>
      </c>
      <c r="AA2" s="1">
        <v>2005.0</v>
      </c>
      <c r="AB2" s="1">
        <v>2006.0</v>
      </c>
      <c r="AC2" s="1">
        <v>2007.0</v>
      </c>
      <c r="AD2" s="1">
        <v>2008.0</v>
      </c>
      <c r="AE2" s="1">
        <v>2009.0</v>
      </c>
      <c r="AF2" s="1">
        <v>2010.0</v>
      </c>
      <c r="AG2" s="1">
        <v>2011.0</v>
      </c>
      <c r="AH2" s="1">
        <v>2012.0</v>
      </c>
      <c r="AI2" s="1">
        <v>2013.0</v>
      </c>
      <c r="AJ2" s="1">
        <v>2014.0</v>
      </c>
      <c r="AK2" s="1">
        <v>2015.0</v>
      </c>
      <c r="AL2" s="1">
        <v>2016.0</v>
      </c>
      <c r="AM2" s="1">
        <v>2017.0</v>
      </c>
      <c r="AN2" s="1">
        <v>2018.0</v>
      </c>
      <c r="AO2" s="1">
        <v>2019.0</v>
      </c>
      <c r="AP2" s="1">
        <v>2020.0</v>
      </c>
      <c r="AQ2" s="1">
        <v>2021.0</v>
      </c>
      <c r="AR2" s="1">
        <v>2022.0</v>
      </c>
    </row>
    <row r="3">
      <c r="A3" s="1" t="s">
        <v>31</v>
      </c>
      <c r="B3" s="11">
        <v>501000.0</v>
      </c>
      <c r="C3" s="11">
        <v>506000.0</v>
      </c>
      <c r="D3" s="11">
        <v>502000.0</v>
      </c>
      <c r="E3" s="11">
        <v>377000.0</v>
      </c>
      <c r="F3" s="11">
        <v>536000.0</v>
      </c>
      <c r="G3" s="11">
        <v>542000.0</v>
      </c>
      <c r="H3" s="11">
        <v>717000.0</v>
      </c>
      <c r="I3" s="11">
        <v>643000.0</v>
      </c>
      <c r="J3" s="11">
        <v>705000.0</v>
      </c>
      <c r="K3" s="11">
        <v>679000.0</v>
      </c>
      <c r="L3" s="11">
        <v>561000.0</v>
      </c>
      <c r="M3" s="11">
        <v>619000.0</v>
      </c>
      <c r="N3" s="11">
        <v>550000.0</v>
      </c>
      <c r="O3" s="11">
        <v>650000.0</v>
      </c>
      <c r="P3" s="11">
        <v>443000.0</v>
      </c>
      <c r="Q3" s="11">
        <v>22000.0</v>
      </c>
      <c r="R3" s="11">
        <v>330000.0</v>
      </c>
      <c r="S3" s="11">
        <v>293000.0</v>
      </c>
      <c r="T3" s="11">
        <v>194000.0</v>
      </c>
      <c r="U3" s="11">
        <v>222000.0</v>
      </c>
      <c r="V3" s="11">
        <v>308000.0</v>
      </c>
      <c r="W3" s="11">
        <v>273000.0</v>
      </c>
      <c r="X3" s="11">
        <v>296000.0</v>
      </c>
      <c r="Y3" s="11">
        <v>320000.0</v>
      </c>
      <c r="Z3" s="11">
        <v>266000.0</v>
      </c>
      <c r="AA3" s="11">
        <v>317000.0</v>
      </c>
      <c r="AB3" s="11">
        <v>340000.0</v>
      </c>
      <c r="AC3" s="11">
        <v>400000.0</v>
      </c>
      <c r="AD3" s="11">
        <v>230000.0</v>
      </c>
      <c r="AE3" s="11">
        <v>340000.0</v>
      </c>
      <c r="AF3" s="11">
        <v>240000.0</v>
      </c>
      <c r="AG3" s="11">
        <v>317000.0</v>
      </c>
      <c r="AH3" s="11">
        <v>245000.0</v>
      </c>
      <c r="AI3" s="11">
        <v>260000.0</v>
      </c>
      <c r="AJ3" s="11">
        <v>250000.0</v>
      </c>
      <c r="AK3" s="11">
        <v>240000.0</v>
      </c>
      <c r="AL3" s="11">
        <v>300000.0</v>
      </c>
      <c r="AM3" s="11">
        <v>230000.0</v>
      </c>
      <c r="AN3" s="11">
        <v>275000.0</v>
      </c>
      <c r="AO3" s="11">
        <v>275000.0</v>
      </c>
      <c r="AP3" s="11">
        <v>350000.0</v>
      </c>
      <c r="AQ3" s="11">
        <v>290000.0</v>
      </c>
      <c r="AR3" s="11">
        <v>325000.0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32</v>
      </c>
      <c r="B2" s="1">
        <v>300.0</v>
      </c>
    </row>
    <row r="3">
      <c r="A3" s="1" t="s">
        <v>33</v>
      </c>
      <c r="B3" s="1">
        <v>400.0</v>
      </c>
    </row>
    <row r="4">
      <c r="A4" s="1" t="s">
        <v>34</v>
      </c>
      <c r="B4" s="1">
        <f>B2*2</f>
        <v>600</v>
      </c>
    </row>
    <row r="5">
      <c r="A5" s="1" t="s">
        <v>35</v>
      </c>
      <c r="B5" s="1">
        <v>750.0</v>
      </c>
    </row>
    <row r="6">
      <c r="A6" s="1" t="s">
        <v>36</v>
      </c>
      <c r="B6" s="1">
        <v>900.0</v>
      </c>
    </row>
    <row r="7">
      <c r="A7" s="1" t="s">
        <v>37</v>
      </c>
      <c r="B7" s="1">
        <f>B4*2</f>
        <v>1200</v>
      </c>
    </row>
    <row r="8">
      <c r="A8" s="1" t="s">
        <v>38</v>
      </c>
      <c r="B8" s="1">
        <v>1350.0</v>
      </c>
    </row>
    <row r="9">
      <c r="A9" s="1" t="s">
        <v>39</v>
      </c>
      <c r="B9" s="1">
        <v>1600.0</v>
      </c>
    </row>
    <row r="10">
      <c r="A10" s="1" t="s">
        <v>40</v>
      </c>
      <c r="B10" s="1">
        <f>B7*2</f>
        <v>2400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0"/>
  </cols>
  <sheetData>
    <row r="1">
      <c r="A1" s="12"/>
      <c r="B1" s="13" t="s">
        <v>41</v>
      </c>
      <c r="C1" s="14"/>
      <c r="D1" s="15"/>
      <c r="E1" s="15"/>
    </row>
    <row r="2">
      <c r="A2" s="16"/>
      <c r="B2" s="17" t="s">
        <v>42</v>
      </c>
      <c r="C2" s="17">
        <v>1200.0</v>
      </c>
      <c r="D2" s="17">
        <v>1200.0</v>
      </c>
      <c r="E2" s="17">
        <v>1200.0</v>
      </c>
    </row>
    <row r="3">
      <c r="A3" s="16"/>
      <c r="B3" s="18" t="s">
        <v>43</v>
      </c>
      <c r="C3" s="17">
        <v>5.0</v>
      </c>
      <c r="D3" s="17">
        <v>5.0</v>
      </c>
      <c r="E3" s="15"/>
    </row>
    <row r="4">
      <c r="A4" s="19"/>
      <c r="B4" s="20" t="s">
        <v>44</v>
      </c>
      <c r="C4" s="21">
        <f t="shared" ref="C4:D4" si="1">C5*C6</f>
        <v>105473.4</v>
      </c>
      <c r="D4" s="21">
        <f t="shared" si="1"/>
        <v>109055.65</v>
      </c>
      <c r="E4" s="22"/>
    </row>
    <row r="5">
      <c r="A5" s="23"/>
      <c r="B5" s="24" t="s">
        <v>45</v>
      </c>
      <c r="C5" s="25">
        <v>19200.0</v>
      </c>
      <c r="D5" s="25">
        <v>19200.0</v>
      </c>
      <c r="E5" s="26"/>
    </row>
    <row r="6">
      <c r="A6" s="23"/>
      <c r="B6" s="27" t="s">
        <v>46</v>
      </c>
      <c r="C6" s="28">
        <f t="shared" ref="C6:D6" si="2">C19</f>
        <v>5.49340625</v>
      </c>
      <c r="D6" s="28">
        <f t="shared" si="2"/>
        <v>5.679981771</v>
      </c>
      <c r="E6" s="26"/>
    </row>
    <row r="7">
      <c r="A7" s="16"/>
      <c r="B7" s="29" t="s">
        <v>47</v>
      </c>
      <c r="C7" s="30" t="s">
        <v>48</v>
      </c>
      <c r="D7" s="30" t="s">
        <v>48</v>
      </c>
      <c r="E7" s="15"/>
    </row>
    <row r="8">
      <c r="A8" s="15"/>
      <c r="B8" s="31" t="s">
        <v>49</v>
      </c>
      <c r="C8" s="32">
        <f t="shared" ref="C8:D8" si="3">410/C2</f>
        <v>0.3416666667</v>
      </c>
      <c r="D8" s="32">
        <f t="shared" si="3"/>
        <v>0.3416666667</v>
      </c>
      <c r="E8" s="15"/>
    </row>
    <row r="9">
      <c r="A9" s="33" t="s">
        <v>50</v>
      </c>
      <c r="B9" s="31" t="s">
        <v>51</v>
      </c>
      <c r="C9" s="32">
        <f t="shared" ref="C9:D9" si="4">C8*C3</f>
        <v>1.708333333</v>
      </c>
      <c r="D9" s="32">
        <f t="shared" si="4"/>
        <v>1.708333333</v>
      </c>
      <c r="E9" s="31" t="s">
        <v>43</v>
      </c>
    </row>
    <row r="10">
      <c r="A10" s="33" t="s">
        <v>52</v>
      </c>
      <c r="B10" s="31" t="s">
        <v>53</v>
      </c>
      <c r="C10" s="32">
        <f t="shared" ref="C10:D10" si="5">350/C2</f>
        <v>0.2916666667</v>
      </c>
      <c r="D10" s="32">
        <f t="shared" si="5"/>
        <v>0.2916666667</v>
      </c>
      <c r="E10" s="15"/>
    </row>
    <row r="11">
      <c r="A11" s="33" t="s">
        <v>4</v>
      </c>
      <c r="B11" s="31" t="s">
        <v>54</v>
      </c>
      <c r="C11" s="32">
        <f t="shared" ref="C11:D11" si="6">800/$E2</f>
        <v>0.6666666667</v>
      </c>
      <c r="D11" s="32">
        <f t="shared" si="6"/>
        <v>0.6666666667</v>
      </c>
      <c r="E11" s="31" t="s">
        <v>55</v>
      </c>
      <c r="F11" s="34" t="s">
        <v>56</v>
      </c>
    </row>
    <row r="12">
      <c r="A12" s="33" t="s">
        <v>4</v>
      </c>
      <c r="B12" s="31" t="s">
        <v>57</v>
      </c>
      <c r="C12" s="32">
        <f>6500/19200</f>
        <v>0.3385416667</v>
      </c>
      <c r="D12" s="32">
        <f>9615/19200</f>
        <v>0.50078125</v>
      </c>
      <c r="E12" s="15"/>
    </row>
    <row r="13">
      <c r="A13" s="15"/>
      <c r="B13" s="31" t="s">
        <v>58</v>
      </c>
      <c r="C13" s="32">
        <f t="shared" ref="C13:D13" si="7">C14+C15+C16</f>
        <v>1.43</v>
      </c>
      <c r="D13" s="32">
        <f t="shared" si="7"/>
        <v>1.43</v>
      </c>
      <c r="E13" s="15"/>
    </row>
    <row r="14">
      <c r="A14" s="15"/>
      <c r="B14" s="31" t="s">
        <v>59</v>
      </c>
      <c r="C14" s="32">
        <v>0.66</v>
      </c>
      <c r="D14" s="35">
        <v>0.66</v>
      </c>
      <c r="E14" s="15"/>
    </row>
    <row r="15">
      <c r="A15" s="15"/>
      <c r="B15" s="31" t="s">
        <v>60</v>
      </c>
      <c r="C15" s="32">
        <v>0.44</v>
      </c>
      <c r="D15" s="35">
        <v>0.44</v>
      </c>
      <c r="E15" s="15"/>
    </row>
    <row r="16">
      <c r="A16" s="15"/>
      <c r="B16" s="31" t="s">
        <v>61</v>
      </c>
      <c r="C16" s="32">
        <v>0.33</v>
      </c>
      <c r="D16" s="35">
        <v>0.33</v>
      </c>
      <c r="E16" s="15"/>
    </row>
    <row r="17">
      <c r="A17" s="15"/>
      <c r="B17" s="36" t="s">
        <v>62</v>
      </c>
      <c r="C17" s="32">
        <f>SUM(C8:C13)</f>
        <v>4.776875</v>
      </c>
      <c r="D17" s="37">
        <f>sum(D8:D13)</f>
        <v>4.939114583</v>
      </c>
      <c r="E17" s="15"/>
    </row>
    <row r="18">
      <c r="A18" s="15"/>
      <c r="B18" s="36" t="s">
        <v>63</v>
      </c>
      <c r="C18" s="32">
        <f t="shared" ref="C18:D18" si="8">15%*C17</f>
        <v>0.71653125</v>
      </c>
      <c r="D18" s="32">
        <f t="shared" si="8"/>
        <v>0.7408671875</v>
      </c>
      <c r="E18" s="15"/>
    </row>
    <row r="19">
      <c r="A19" s="15"/>
      <c r="B19" s="36" t="s">
        <v>46</v>
      </c>
      <c r="C19" s="38">
        <f t="shared" ref="C19:D19" si="9">C17+C18</f>
        <v>5.49340625</v>
      </c>
      <c r="D19" s="38">
        <f t="shared" si="9"/>
        <v>5.679981771</v>
      </c>
      <c r="E19" s="15"/>
    </row>
    <row r="20">
      <c r="A20" s="15"/>
      <c r="B20" s="31" t="s">
        <v>64</v>
      </c>
      <c r="C20" s="35">
        <f t="shared" ref="C20:D20" si="10">C19/2.2</f>
        <v>2.497002841</v>
      </c>
      <c r="D20" s="35">
        <f t="shared" si="10"/>
        <v>2.581809896</v>
      </c>
      <c r="E20" s="15"/>
    </row>
  </sheetData>
  <drawing r:id="rId1"/>
</worksheet>
</file>